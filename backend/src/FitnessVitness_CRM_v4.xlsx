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eepaksingh/Downloads/"/>
    </mc:Choice>
  </mc:AlternateContent>
  <xr:revisionPtr revIDLastSave="0" documentId="8_{31200C9B-1013-4443-BE47-F8E0E9FBB65B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⚙️ SETTINGS" sheetId="1" state="hidden" r:id="rId1"/>
    <sheet name="📋 MASTER" sheetId="2" r:id="rId2"/>
    <sheet name="📊 ANALYTICS" sheetId="3" r:id="rId3"/>
    <sheet name="💼 BUSINESS" sheetId="15" r:id="rId4"/>
    <sheet name="FV-001" sheetId="4" r:id="rId5"/>
    <sheet name="FV-002" sheetId="5" r:id="rId6"/>
    <sheet name="FV-003" sheetId="6" r:id="rId7"/>
    <sheet name="FV-004" sheetId="7" r:id="rId8"/>
    <sheet name="FV-005" sheetId="8" r:id="rId9"/>
    <sheet name="FV-006" sheetId="9" r:id="rId10"/>
    <sheet name="FV-007" sheetId="10" r:id="rId11"/>
    <sheet name="FV-008" sheetId="11" r:id="rId12"/>
    <sheet name="FV-009" sheetId="12" r:id="rId13"/>
    <sheet name="FV-010" sheetId="13" r:id="rId14"/>
    <sheet name="📄 TEMPLATE" sheetId="14" r:id="rId15"/>
  </sheets>
  <definedNames>
    <definedName name="Pay_Mode">'⚙️ SETTINGS'!$I$5:$I$10</definedName>
    <definedName name="Plan_Duration_Lookup">'⚙️ SETTINGS'!$B$19:$C$22</definedName>
    <definedName name="Plan_Type">'⚙️ SETTINGS'!$E$5:$E$8</definedName>
    <definedName name="Priority">'⚙️ SETTINGS'!$H$5:$H$7</definedName>
    <definedName name="Progress">'⚙️ SETTINGS'!$B$5:$B$9</definedName>
    <definedName name="Source">'⚙️ SETTINGS'!$D$5:$D$12</definedName>
    <definedName name="Status">'⚙️ SETTINGS'!$C$5:$C$7</definedName>
    <definedName name="Task_Status">'⚙️ SETTINGS'!$G$5:$G$9</definedName>
    <definedName name="Tier">'⚙️ SETTINGS'!$F$5:$F$9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1" i="15" l="1"/>
  <c r="G71" i="15"/>
  <c r="F71" i="15"/>
  <c r="E71" i="15"/>
  <c r="D71" i="15"/>
  <c r="C71" i="15"/>
  <c r="B71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F4" i="15" s="1"/>
  <c r="L4" i="15"/>
  <c r="J4" i="15"/>
  <c r="H4" i="15"/>
  <c r="D4" i="15"/>
  <c r="B4" i="15"/>
  <c r="G92" i="14"/>
  <c r="F92" i="14"/>
  <c r="E92" i="14"/>
  <c r="F27" i="14"/>
  <c r="C27" i="14"/>
  <c r="F26" i="14"/>
  <c r="C26" i="14"/>
  <c r="C19" i="14"/>
  <c r="F19" i="14" s="1"/>
  <c r="G92" i="13"/>
  <c r="F92" i="13"/>
  <c r="E92" i="13"/>
  <c r="F27" i="13"/>
  <c r="C27" i="13"/>
  <c r="C26" i="13"/>
  <c r="F26" i="13" s="1"/>
  <c r="C19" i="13"/>
  <c r="F19" i="13" s="1"/>
  <c r="G92" i="12"/>
  <c r="F92" i="12"/>
  <c r="E92" i="12"/>
  <c r="F27" i="12"/>
  <c r="C27" i="12"/>
  <c r="C26" i="12"/>
  <c r="F26" i="12" s="1"/>
  <c r="F19" i="12"/>
  <c r="C19" i="12"/>
  <c r="G92" i="11"/>
  <c r="F92" i="11"/>
  <c r="E92" i="11"/>
  <c r="F27" i="11"/>
  <c r="C27" i="11"/>
  <c r="F26" i="11"/>
  <c r="C26" i="11"/>
  <c r="C19" i="11"/>
  <c r="F19" i="11" s="1"/>
  <c r="G92" i="10"/>
  <c r="F92" i="10"/>
  <c r="E92" i="10"/>
  <c r="F27" i="10"/>
  <c r="C27" i="10"/>
  <c r="C26" i="10"/>
  <c r="F26" i="10" s="1"/>
  <c r="C19" i="10"/>
  <c r="F19" i="10" s="1"/>
  <c r="G92" i="9"/>
  <c r="F92" i="9"/>
  <c r="E92" i="9"/>
  <c r="F27" i="9"/>
  <c r="C27" i="9"/>
  <c r="C26" i="9"/>
  <c r="F26" i="9" s="1"/>
  <c r="C19" i="9"/>
  <c r="F19" i="9" s="1"/>
  <c r="G92" i="8"/>
  <c r="F92" i="8"/>
  <c r="E92" i="8"/>
  <c r="F27" i="8"/>
  <c r="C27" i="8"/>
  <c r="C26" i="8"/>
  <c r="F26" i="8" s="1"/>
  <c r="F19" i="8"/>
  <c r="C19" i="8"/>
  <c r="G92" i="7"/>
  <c r="F92" i="7"/>
  <c r="E92" i="7"/>
  <c r="F27" i="7"/>
  <c r="C27" i="7"/>
  <c r="F26" i="7"/>
  <c r="C26" i="7"/>
  <c r="C19" i="7"/>
  <c r="F19" i="7" s="1"/>
  <c r="G92" i="6"/>
  <c r="F92" i="6"/>
  <c r="E92" i="6"/>
  <c r="F27" i="6"/>
  <c r="C27" i="6"/>
  <c r="C26" i="6"/>
  <c r="F26" i="6" s="1"/>
  <c r="C19" i="6"/>
  <c r="F19" i="6" s="1"/>
  <c r="G92" i="5"/>
  <c r="F92" i="5"/>
  <c r="E92" i="5"/>
  <c r="F27" i="5"/>
  <c r="C27" i="5"/>
  <c r="C26" i="5"/>
  <c r="F26" i="5" s="1"/>
  <c r="C19" i="5"/>
  <c r="F19" i="5" s="1"/>
  <c r="G92" i="4"/>
  <c r="F92" i="4"/>
  <c r="E92" i="4"/>
  <c r="F27" i="4"/>
  <c r="C27" i="4"/>
  <c r="C26" i="4"/>
  <c r="F26" i="4" s="1"/>
  <c r="C19" i="4"/>
  <c r="F19" i="4" s="1"/>
  <c r="M17" i="2"/>
  <c r="L17" i="2"/>
  <c r="K17" i="2"/>
  <c r="F17" i="2"/>
  <c r="G17" i="2" s="1"/>
  <c r="H17" i="2" s="1"/>
  <c r="E17" i="2"/>
  <c r="D17" i="2"/>
  <c r="C17" i="2"/>
  <c r="M16" i="2"/>
  <c r="L16" i="2"/>
  <c r="K16" i="2"/>
  <c r="E16" i="2"/>
  <c r="F16" i="2" s="1"/>
  <c r="G16" i="2" s="1"/>
  <c r="D16" i="2"/>
  <c r="C16" i="2"/>
  <c r="M15" i="2"/>
  <c r="L15" i="2"/>
  <c r="K15" i="2"/>
  <c r="F15" i="2"/>
  <c r="G15" i="2" s="1"/>
  <c r="H15" i="2" s="1"/>
  <c r="E15" i="2"/>
  <c r="D15" i="2"/>
  <c r="C15" i="2"/>
  <c r="M14" i="2"/>
  <c r="L14" i="2"/>
  <c r="K14" i="2"/>
  <c r="E14" i="2"/>
  <c r="F14" i="2" s="1"/>
  <c r="G14" i="2" s="1"/>
  <c r="D14" i="2"/>
  <c r="C14" i="2"/>
  <c r="M13" i="2"/>
  <c r="L13" i="2"/>
  <c r="K13" i="2"/>
  <c r="F13" i="2"/>
  <c r="G13" i="2" s="1"/>
  <c r="H13" i="2" s="1"/>
  <c r="E13" i="2"/>
  <c r="D13" i="2"/>
  <c r="C13" i="2"/>
  <c r="M12" i="2"/>
  <c r="L12" i="2"/>
  <c r="K12" i="2"/>
  <c r="E12" i="2"/>
  <c r="F12" i="2" s="1"/>
  <c r="G12" i="2" s="1"/>
  <c r="D12" i="2"/>
  <c r="C12" i="2"/>
  <c r="M11" i="2"/>
  <c r="L11" i="2"/>
  <c r="K11" i="2"/>
  <c r="F11" i="2"/>
  <c r="G11" i="2" s="1"/>
  <c r="H11" i="2" s="1"/>
  <c r="E11" i="2"/>
  <c r="D11" i="2"/>
  <c r="C11" i="2"/>
  <c r="M10" i="2"/>
  <c r="L10" i="2"/>
  <c r="K10" i="2"/>
  <c r="E10" i="2"/>
  <c r="F10" i="2" s="1"/>
  <c r="G10" i="2" s="1"/>
  <c r="D10" i="2"/>
  <c r="C10" i="2"/>
  <c r="M9" i="2"/>
  <c r="L9" i="2"/>
  <c r="K9" i="2"/>
  <c r="F9" i="2"/>
  <c r="G9" i="2" s="1"/>
  <c r="H9" i="2" s="1"/>
  <c r="E9" i="2"/>
  <c r="D9" i="2"/>
  <c r="C9" i="2"/>
  <c r="M8" i="2"/>
  <c r="L4" i="2" s="1"/>
  <c r="L8" i="2"/>
  <c r="K8" i="2"/>
  <c r="E8" i="2"/>
  <c r="F8" i="2" s="1"/>
  <c r="D8" i="2"/>
  <c r="C8" i="2"/>
  <c r="J4" i="2"/>
  <c r="B4" i="2"/>
  <c r="N13" i="2" l="1"/>
  <c r="N9" i="2"/>
  <c r="H16" i="2"/>
  <c r="N16" i="2"/>
  <c r="N10" i="2"/>
  <c r="H10" i="2"/>
  <c r="N11" i="2"/>
  <c r="N12" i="2"/>
  <c r="H12" i="2"/>
  <c r="G8" i="2"/>
  <c r="F4" i="2"/>
  <c r="N15" i="2"/>
  <c r="H14" i="2"/>
  <c r="N14" i="2"/>
  <c r="N17" i="2"/>
  <c r="D4" i="2"/>
  <c r="N8" i="2" l="1"/>
  <c r="H8" i="2"/>
  <c r="J16" i="2"/>
  <c r="I16" i="2"/>
  <c r="G6" i="12"/>
  <c r="G6" i="11"/>
  <c r="I15" i="2"/>
  <c r="J15" i="2"/>
  <c r="G6" i="14"/>
  <c r="G6" i="9"/>
  <c r="I13" i="2"/>
  <c r="J13" i="2"/>
  <c r="H4" i="2"/>
  <c r="G6" i="4"/>
  <c r="I8" i="2"/>
  <c r="J8" i="2"/>
  <c r="J9" i="2"/>
  <c r="I9" i="2"/>
  <c r="G6" i="5"/>
  <c r="J17" i="2"/>
  <c r="I17" i="2"/>
  <c r="G6" i="13"/>
  <c r="G6" i="7"/>
  <c r="I11" i="2"/>
  <c r="J11" i="2"/>
  <c r="J10" i="2"/>
  <c r="I10" i="2"/>
  <c r="G6" i="6"/>
  <c r="G6" i="8"/>
  <c r="I12" i="2"/>
  <c r="J12" i="2"/>
  <c r="G6" i="10"/>
  <c r="I14" i="2"/>
  <c r="J14" i="2"/>
</calcChain>
</file>

<file path=xl/sharedStrings.xml><?xml version="1.0" encoding="utf-8"?>
<sst xmlns="http://schemas.openxmlformats.org/spreadsheetml/2006/main" count="3363" uniqueCount="362">
  <si>
    <t>⚙️  SETTINGS  —  All Dropdown Lists Managed Here</t>
  </si>
  <si>
    <t>Edit any list below → Save → All dropdowns across all sheets update automatically</t>
  </si>
  <si>
    <t>Progress</t>
  </si>
  <si>
    <t>Status</t>
  </si>
  <si>
    <t>Source</t>
  </si>
  <si>
    <t>Plan Type</t>
  </si>
  <si>
    <t>Tier</t>
  </si>
  <si>
    <t>Task Status</t>
  </si>
  <si>
    <t>Priority</t>
  </si>
  <si>
    <t>Pay Mode</t>
  </si>
  <si>
    <t>Very Good</t>
  </si>
  <si>
    <t>Active</t>
  </si>
  <si>
    <t>BNI</t>
  </si>
  <si>
    <t>1 Month Plan</t>
  </si>
  <si>
    <t>5 ⭐⭐⭐⭐⭐</t>
  </si>
  <si>
    <t>Open</t>
  </si>
  <si>
    <t>High</t>
  </si>
  <si>
    <t>GPay</t>
  </si>
  <si>
    <t>Good</t>
  </si>
  <si>
    <t>Hold</t>
  </si>
  <si>
    <t>Instagram</t>
  </si>
  <si>
    <t>3 Month Plan</t>
  </si>
  <si>
    <t>4 ⭐⭐⭐⭐</t>
  </si>
  <si>
    <t>In Progress</t>
  </si>
  <si>
    <t>Medium</t>
  </si>
  <si>
    <t>Cash</t>
  </si>
  <si>
    <t>Neutral</t>
  </si>
  <si>
    <t>Inactive</t>
  </si>
  <si>
    <t>Facebook</t>
  </si>
  <si>
    <t>6 Month Plan</t>
  </si>
  <si>
    <t>3 ⭐⭐⭐</t>
  </si>
  <si>
    <t>Done ✅</t>
  </si>
  <si>
    <t>Low</t>
  </si>
  <si>
    <t>Online Transfer</t>
  </si>
  <si>
    <t>Poor</t>
  </si>
  <si>
    <t>Referral - Existing Client</t>
  </si>
  <si>
    <t>1 Year Plan</t>
  </si>
  <si>
    <t>2 ⭐⭐</t>
  </si>
  <si>
    <t>Carried Forward ➡</t>
  </si>
  <si>
    <t>Cheque</t>
  </si>
  <si>
    <t>Very Poor</t>
  </si>
  <si>
    <t>Friend / Family</t>
  </si>
  <si>
    <t>1 ⭐</t>
  </si>
  <si>
    <t>Overdue 🔴</t>
  </si>
  <si>
    <t>UPI</t>
  </si>
  <si>
    <t>Walk-in</t>
  </si>
  <si>
    <t>NEFT</t>
  </si>
  <si>
    <t>Online / Website</t>
  </si>
  <si>
    <t>Corporate / Company</t>
  </si>
  <si>
    <t>💡  HOW TO EDIT:  Add or change any value in the lists above → Save file → All dropdowns update automatically across all sheets  |  Do NOT delete column headers in row 4</t>
  </si>
  <si>
    <t>PLAN DURATION LOOKUP (do not edit)</t>
  </si>
  <si>
    <t>🌿  FITNESS VITNESS  —  CLIENT PERFORMANCE MASTER DASHBOARD</t>
  </si>
  <si>
    <t>All data auto-synced from client sheets  |  Click any client name to open full profile  |  Update KEY FIELDS on client sheet only</t>
  </si>
  <si>
    <t>Active Clients</t>
  </si>
  <si>
    <t>On Hold</t>
  </si>
  <si>
    <t>Need Attention</t>
  </si>
  <si>
    <t>Overdue Follow-ups</t>
  </si>
  <si>
    <t>Plans Expiring Soon</t>
  </si>
  <si>
    <t>5-Star Clients ⭐</t>
  </si>
  <si>
    <t>ID</t>
  </si>
  <si>
    <t>CLIENT NAME</t>
  </si>
  <si>
    <t>STATUS</t>
  </si>
  <si>
    <t>PROGRESS</t>
  </si>
  <si>
    <t>LAST CONSULT
(auto)</t>
  </si>
  <si>
    <t>NEXT DUE</t>
  </si>
  <si>
    <t>DAYS
REMAINING</t>
  </si>
  <si>
    <t>FOLLOW-UP
PRIORITY</t>
  </si>
  <si>
    <t>PLAN EXPIRY</t>
  </si>
  <si>
    <t>DAYS TO
EXPIRY</t>
  </si>
  <si>
    <t>PLAN TYPE</t>
  </si>
  <si>
    <t>SOURCE</t>
  </si>
  <si>
    <t>TIER</t>
  </si>
  <si>
    <t>⚠️ RISK</t>
  </si>
  <si>
    <t>FV-001</t>
  </si>
  <si>
    <t>Priya Sharma</t>
  </si>
  <si>
    <t>FV-002</t>
  </si>
  <si>
    <t>Rahul Mehta</t>
  </si>
  <si>
    <t>FV-003</t>
  </si>
  <si>
    <t>Sneha Patel</t>
  </si>
  <si>
    <t>FV-004</t>
  </si>
  <si>
    <t>Amit Verma</t>
  </si>
  <si>
    <t>FV-005</t>
  </si>
  <si>
    <t>Kavita Joshi</t>
  </si>
  <si>
    <t>FV-006</t>
  </si>
  <si>
    <t>Rohit Desai</t>
  </si>
  <si>
    <t>FV-007</t>
  </si>
  <si>
    <t>Meena Kulkarni</t>
  </si>
  <si>
    <t>FV-008</t>
  </si>
  <si>
    <t>Suresh Nair</t>
  </si>
  <si>
    <t>FV-009</t>
  </si>
  <si>
    <t>Anita Singh</t>
  </si>
  <si>
    <t>FV-010</t>
  </si>
  <si>
    <t>Deepak Chauhan</t>
  </si>
  <si>
    <t>💡  ⭐⭐⭐⭐⭐ 5-Star clients highlighted in gold — prioritise relationship building  |  🟠 HOLD = client on break, still in membership  |  All data flows from client sheets automatically</t>
  </si>
  <si>
    <t>📊  BUSINESS ANALYTICS  —  Insights at a Glance</t>
  </si>
  <si>
    <t>Where clients come from, who your top referrers are, and where to focus your energy</t>
  </si>
  <si>
    <t xml:space="preserve">  📍 SOURCE BREAKDOWN  —  Where are your clients coming from?</t>
  </si>
  <si>
    <t>Clients</t>
  </si>
  <si>
    <t>% of Total</t>
  </si>
  <si>
    <t>Avg Tier</t>
  </si>
  <si>
    <t>Action</t>
  </si>
  <si>
    <t>20%</t>
  </si>
  <si>
    <t>5.0 ⭐⭐⭐⭐⭐</t>
  </si>
  <si>
    <t>🔥 High value — attend more meetings</t>
  </si>
  <si>
    <t>10%</t>
  </si>
  <si>
    <t>4.0 ⭐⭐⭐⭐</t>
  </si>
  <si>
    <t>📱 Review content strategy</t>
  </si>
  <si>
    <t>—</t>
  </si>
  <si>
    <t>0%</t>
  </si>
  <si>
    <t>60%</t>
  </si>
  <si>
    <t>2.8 ⭐⭐⭐</t>
  </si>
  <si>
    <t>⭐ Best channel — reward referrers</t>
  </si>
  <si>
    <t>2.0 ⭐⭐</t>
  </si>
  <si>
    <t>🌐 Optimise SEO</t>
  </si>
  <si>
    <t>🟢 Top source highlighted  |  Focus on sources with highest average tier — they bring most committed clients</t>
  </si>
  <si>
    <t xml:space="preserve">  ⭐ TIER DISTRIBUTION  —  Your client value overview</t>
  </si>
  <si>
    <t>Your Action</t>
  </si>
  <si>
    <t>⭐⭐⭐⭐⭐</t>
  </si>
  <si>
    <t>🏆 Call weekly — maximum relationship investment</t>
  </si>
  <si>
    <t>⭐⭐⭐⭐☆</t>
  </si>
  <si>
    <t>🌟 Monthly personal call — strong nurturing</t>
  </si>
  <si>
    <t>⭐⭐⭐☆☆</t>
  </si>
  <si>
    <t>30%</t>
  </si>
  <si>
    <t>💪 Standard follow-up — routine service</t>
  </si>
  <si>
    <t>⭐⭐☆☆☆</t>
  </si>
  <si>
    <t>🌱 Basic service — routine protocol</t>
  </si>
  <si>
    <t>⭐☆☆☆☆</t>
  </si>
  <si>
    <t>👋 Minimum touch — standard only</t>
  </si>
  <si>
    <t xml:space="preserve">  🤝 TOP REFERRERS  —  Who is growing your business?</t>
  </si>
  <si>
    <t>Client (ID)</t>
  </si>
  <si>
    <t>Referrals</t>
  </si>
  <si>
    <t>Source They Came From</t>
  </si>
  <si>
    <t>Kavita Joshi (FV-005)</t>
  </si>
  <si>
    <t>🔥 Call this week — key growth driver</t>
  </si>
  <si>
    <t>Priya Sharma (FV-001)</t>
  </si>
  <si>
    <t>📞 Personal call this month — nurture</t>
  </si>
  <si>
    <t>Rahul Mehta (FV-002)</t>
  </si>
  <si>
    <t xml:space="preserve">  💰 FINANCIAL SNAPSHOT  —  (Full details in Business Tracker)</t>
  </si>
  <si>
    <t>Month</t>
  </si>
  <si>
    <t>Received (₹)</t>
  </si>
  <si>
    <t>Pending (₹)</t>
  </si>
  <si>
    <t>Cost (₹)</t>
  </si>
  <si>
    <t>Profit (₹)</t>
  </si>
  <si>
    <t>January</t>
  </si>
  <si>
    <t>February</t>
  </si>
  <si>
    <t>March</t>
  </si>
  <si>
    <t>→ For complete monthly &amp; yearly breakdown, open the 💼 Business Tracker sheet</t>
  </si>
  <si>
    <t>🌿  FITNESS VITNESS  |  PRIYA SHARMA  |  FV-001</t>
  </si>
  <si>
    <t>⬅  Back to Master  |  Yellow = KEY FIELDS — update here, Master syncs automatically</t>
  </si>
  <si>
    <t xml:space="preserve">  🔗 KEY FIELDS  —  These automatically update the Master Sheet</t>
  </si>
  <si>
    <t>Client ID</t>
  </si>
  <si>
    <t>Last Consultation</t>
  </si>
  <si>
    <t>Plan Expiry</t>
  </si>
  <si>
    <t>Follow-up Freq (days)</t>
  </si>
  <si>
    <t>Client Tier</t>
  </si>
  <si>
    <t>⬆  Update yellow cells after each consultation. Plan Expiry calculates automatically from Plan Type + Start Date.</t>
  </si>
  <si>
    <t xml:space="preserve">  📌 PERSONAL DETAILS</t>
  </si>
  <si>
    <t>Full Name</t>
  </si>
  <si>
    <t>Age</t>
  </si>
  <si>
    <t>Phone</t>
  </si>
  <si>
    <t>9876543210</t>
  </si>
  <si>
    <t>City</t>
  </si>
  <si>
    <t>Vapi</t>
  </si>
  <si>
    <t>Email</t>
  </si>
  <si>
    <t>Address</t>
  </si>
  <si>
    <t>Occupation</t>
  </si>
  <si>
    <t>Referred By</t>
  </si>
  <si>
    <t>Emergency Contact</t>
  </si>
  <si>
    <t xml:space="preserve">  🎯 PLAN &amp; GOALS</t>
  </si>
  <si>
    <t>Health Goal</t>
  </si>
  <si>
    <t>Weight Loss</t>
  </si>
  <si>
    <t>Plan Start Date</t>
  </si>
  <si>
    <t>Plan Duration</t>
  </si>
  <si>
    <t>90 days (auto)</t>
  </si>
  <si>
    <t>Days Remaining</t>
  </si>
  <si>
    <t>Medical Conditions</t>
  </si>
  <si>
    <t>Allergies / Avoid</t>
  </si>
  <si>
    <t>Activity Level</t>
  </si>
  <si>
    <t>Current Medications</t>
  </si>
  <si>
    <t xml:space="preserve">  📏 BODY STATS &amp; BMI</t>
  </si>
  <si>
    <t>Height (cm)</t>
  </si>
  <si>
    <t>Start Weight (kg)</t>
  </si>
  <si>
    <t>Current Weight (kg)</t>
  </si>
  <si>
    <t>Target Weight (kg)</t>
  </si>
  <si>
    <t>BMI</t>
  </si>
  <si>
    <t>BMI Category</t>
  </si>
  <si>
    <t>Weight Change</t>
  </si>
  <si>
    <t>% to Goal</t>
  </si>
  <si>
    <t xml:space="preserve">  🤝 REFERRAL DETAILS</t>
  </si>
  <si>
    <t>Total Referrals Given</t>
  </si>
  <si>
    <t>#</t>
  </si>
  <si>
    <t>Client Name Referred</t>
  </si>
  <si>
    <t>Date Referred</t>
  </si>
  <si>
    <t>Notes</t>
  </si>
  <si>
    <t xml:space="preserve">  ✅ TASK ENGINE  —  Create, track &amp; carry forward tasks</t>
  </si>
  <si>
    <t>Task Description</t>
  </si>
  <si>
    <t>Due Date</t>
  </si>
  <si>
    <t>Period</t>
  </si>
  <si>
    <t>Completed On</t>
  </si>
  <si>
    <t>Diet Review Call</t>
  </si>
  <si>
    <t>This Week</t>
  </si>
  <si>
    <t>Review weight &amp; adjust plan</t>
  </si>
  <si>
    <t>Send Updated Meal Plan</t>
  </si>
  <si>
    <t>Based on last consultation</t>
  </si>
  <si>
    <t>Check Supplement Stock</t>
  </si>
  <si>
    <t>Next Week</t>
  </si>
  <si>
    <t>Ask if protein running low</t>
  </si>
  <si>
    <t>Monthly Progress Review</t>
  </si>
  <si>
    <t>This Month</t>
  </si>
  <si>
    <t>Full BMI + energy check</t>
  </si>
  <si>
    <t>Payment / Renewal Reminder</t>
  </si>
  <si>
    <t>Before Expiry</t>
  </si>
  <si>
    <t>Remind before plan expires</t>
  </si>
  <si>
    <t>Initial Consultation</t>
  </si>
  <si>
    <t>Week 1</t>
  </si>
  <si>
    <t>2026-01-15</t>
  </si>
  <si>
    <t>Onboarding complete</t>
  </si>
  <si>
    <t>First Diet Plan Delivery</t>
  </si>
  <si>
    <t>2026-01-17</t>
  </si>
  <si>
    <t>Sent via WhatsApp</t>
  </si>
  <si>
    <t xml:space="preserve">  📅 CONSULTATION LOG  —  Most recent first</t>
  </si>
  <si>
    <t>Date</t>
  </si>
  <si>
    <t>Type</t>
  </si>
  <si>
    <t>Weight (kg)</t>
  </si>
  <si>
    <t>Key Observations</t>
  </si>
  <si>
    <t>Diet Changes Made</t>
  </si>
  <si>
    <t>Next Steps</t>
  </si>
  <si>
    <t>Next Appt</t>
  </si>
  <si>
    <t>Diet Review</t>
  </si>
  <si>
    <t>74.2 kg</t>
  </si>
  <si>
    <t>Energy improved, cravings reduced</t>
  </si>
  <si>
    <t>Reduced carbs at dinner</t>
  </si>
  <si>
    <t>Increase water 10k steps</t>
  </si>
  <si>
    <t>2 weeks</t>
  </si>
  <si>
    <t>Check-in</t>
  </si>
  <si>
    <t>77.2 kg</t>
  </si>
  <si>
    <t>Good adherence week 1-2</t>
  </si>
  <si>
    <t>No change needed</t>
  </si>
  <si>
    <t>Keep routine</t>
  </si>
  <si>
    <t>Onboarding</t>
  </si>
  <si>
    <t>Initial assessment done</t>
  </si>
  <si>
    <t>Full plan shared</t>
  </si>
  <si>
    <t>Follow-up in 2 weeks</t>
  </si>
  <si>
    <t xml:space="preserve">  💰 PAYMENT HISTORY  —  Auto-pulled from Business Tracker using Client ID</t>
  </si>
  <si>
    <t>⚡ Showing all transactions for FV-001 — Priya Sharma  |  Add new transactions in 💼 Business Tracker — they appear here automatically</t>
  </si>
  <si>
    <t>Product / Plan</t>
  </si>
  <si>
    <t>Rate (₹)</t>
  </si>
  <si>
    <t>Mode</t>
  </si>
  <si>
    <t>TOTALS</t>
  </si>
  <si>
    <t xml:space="preserve">  💊 SUPPLEMENTS PRESCRIBED</t>
  </si>
  <si>
    <t>Product</t>
  </si>
  <si>
    <t>Qty</t>
  </si>
  <si>
    <t>MRP (₹)</t>
  </si>
  <si>
    <t xml:space="preserve">  📝 COACH'S PRIVATE NOTES</t>
  </si>
  <si>
    <t>Write private observations — mindset, lifestyle, family situation, motivation triggers, challenges…</t>
  </si>
  <si>
    <t>🌿  FITNESS VITNESS  |  RAHUL MEHTA  |  FV-002</t>
  </si>
  <si>
    <t>9123456780</t>
  </si>
  <si>
    <t>Surat</t>
  </si>
  <si>
    <t>Muscle Gain</t>
  </si>
  <si>
    <t>180 days (auto)</t>
  </si>
  <si>
    <t>2025-12-01</t>
  </si>
  <si>
    <t>2025-12-03</t>
  </si>
  <si>
    <t>68.5 kg</t>
  </si>
  <si>
    <t>64.2 kg</t>
  </si>
  <si>
    <t>⚡ Showing all transactions for FV-002 — Rahul Mehta  |  Add new transactions in 💼 Business Tracker — they appear here automatically</t>
  </si>
  <si>
    <t>🌿  FITNESS VITNESS  |  SNEHA PATEL  |  FV-003</t>
  </si>
  <si>
    <t>9988776655</t>
  </si>
  <si>
    <t>Diabetes Control</t>
  </si>
  <si>
    <t>2026-02-01</t>
  </si>
  <si>
    <t>2026-02-03</t>
  </si>
  <si>
    <t>84.1 kg</t>
  </si>
  <si>
    <t>84.2 kg</t>
  </si>
  <si>
    <t>⚡ Showing all transactions for FV-003 — Sneha Patel  |  Add new transactions in 💼 Business Tracker — they appear here automatically</t>
  </si>
  <si>
    <t>🌿  FITNESS VITNESS  |  AMIT VERMA  |  FV-004</t>
  </si>
  <si>
    <t>9871234560</t>
  </si>
  <si>
    <t>Bharuch</t>
  </si>
  <si>
    <t>30 days (auto)</t>
  </si>
  <si>
    <t>2026-02-20</t>
  </si>
  <si>
    <t>2026-02-22</t>
  </si>
  <si>
    <t>88.5 kg</t>
  </si>
  <si>
    <t>89.2 kg</t>
  </si>
  <si>
    <t>⚡ Showing all transactions for FV-004 — Amit Verma  |  Add new transactions in 💼 Business Tracker — they appear here automatically</t>
  </si>
  <si>
    <t>🌿  FITNESS VITNESS  |  KAVITA JOSHI  |  FV-005</t>
  </si>
  <si>
    <t>9765432109</t>
  </si>
  <si>
    <t>Cholesterol Mgmt</t>
  </si>
  <si>
    <t>2026-01-01</t>
  </si>
  <si>
    <t>2026-01-03</t>
  </si>
  <si>
    <t>73.2 kg</t>
  </si>
  <si>
    <t>71.2 kg</t>
  </si>
  <si>
    <t>⚡ Showing all transactions for FV-005 — Kavita Joshi  |  Add new transactions in 💼 Business Tracker — they appear here automatically</t>
  </si>
  <si>
    <t>🌿  FITNESS VITNESS  |  ROHIT DESAI  |  FV-006</t>
  </si>
  <si>
    <t>9654321098</t>
  </si>
  <si>
    <t>63.0 kg</t>
  </si>
  <si>
    <t>59.2 kg</t>
  </si>
  <si>
    <t>⚡ Showing all transactions for FV-006 — Rohit Desai  |  Add new transactions in 💼 Business Tracker — they appear here automatically</t>
  </si>
  <si>
    <t>🌿  FITNESS VITNESS  |  MEENA KULKARNI  |  FV-007</t>
  </si>
  <si>
    <t>9543210987</t>
  </si>
  <si>
    <t>Navsari</t>
  </si>
  <si>
    <t>2026-01-10</t>
  </si>
  <si>
    <t>2026-01-12</t>
  </si>
  <si>
    <t>89.5 kg</t>
  </si>
  <si>
    <t>91.2 kg</t>
  </si>
  <si>
    <t>⚡ Showing all transactions for FV-007 — Meena Kulkarni  |  Add new transactions in 💼 Business Tracker — they appear here automatically</t>
  </si>
  <si>
    <t>🌿  FITNESS VITNESS  |  SURESH NAIR  |  FV-008</t>
  </si>
  <si>
    <t>9432109876</t>
  </si>
  <si>
    <t>General Wellness</t>
  </si>
  <si>
    <t>2026-03-01</t>
  </si>
  <si>
    <t>2026-03-03</t>
  </si>
  <si>
    <t>79.2 kg</t>
  </si>
  <si>
    <t>⚡ Showing all transactions for FV-008 — Suresh Nair  |  Add new transactions in 💼 Business Tracker — they appear here automatically</t>
  </si>
  <si>
    <t>🌿  FITNESS VITNESS  |  ANITA SINGH  |  FV-009</t>
  </si>
  <si>
    <t>9321098765</t>
  </si>
  <si>
    <t>Valsad</t>
  </si>
  <si>
    <t>2026-02-15</t>
  </si>
  <si>
    <t>2026-02-17</t>
  </si>
  <si>
    <t>65.1 kg</t>
  </si>
  <si>
    <t>67.2 kg</t>
  </si>
  <si>
    <t>⚡ Showing all transactions for FV-009 — Anita Singh  |  Add new transactions in 💼 Business Tracker — they appear here automatically</t>
  </si>
  <si>
    <t>🌿  FITNESS VITNESS  |  DEEPAK CHAUHAN  |  FV-010</t>
  </si>
  <si>
    <t>9210987654</t>
  </si>
  <si>
    <t>72.8 kg</t>
  </si>
  <si>
    <t>69.2 kg</t>
  </si>
  <si>
    <t>⚡ Showing all transactions for FV-010 — Deepak Chauhan  |  Add new transactions in 💼 Business Tracker — they appear here automatically</t>
  </si>
  <si>
    <t>📄  TEMPLATE  —  Right-click → Move or Copy → rename to new Client ID (e.g. FV-011). Never edit this sheet directly.</t>
  </si>
  <si>
    <t>FV-000</t>
  </si>
  <si>
    <t>NEW CLIENT TEMPLATE</t>
  </si>
  <si>
    <t>0 kg</t>
  </si>
  <si>
    <t>-0.8 kg</t>
  </si>
  <si>
    <t>⚡ Showing all transactions for FV-000 — NEW CLIENT TEMPLATE  |  Add new transactions in 💼 Business Tracker — they appear here automatically</t>
  </si>
  <si>
    <t>💼  BUSINESS TRACKER  —  All Transactions, Revenue &amp; Summaries</t>
  </si>
  <si>
    <t>Enter transactions here with Client ID → Payment History on client sheet updates automatically</t>
  </si>
  <si>
    <t>Total Received</t>
  </si>
  <si>
    <t>Total Pending</t>
  </si>
  <si>
    <t>Total Profit</t>
  </si>
  <si>
    <t>Transactions</t>
  </si>
  <si>
    <t>Membership Rev</t>
  </si>
  <si>
    <t>Supplement Rev</t>
  </si>
  <si>
    <t xml:space="preserve">  📋 TRANSACTION LOG  —  Tag every transaction with Client ID for auto-sync to client sheets</t>
  </si>
  <si>
    <t>⚡ IMPORTANT: Always fill Client ID (col A) correctly — this is what links to the client's payment history automatically</t>
  </si>
  <si>
    <t>Use Data → Filter to sort by client, date, or type  |  Profit = Received - Cost (auto-calculated)</t>
  </si>
  <si>
    <t>Client Name</t>
  </si>
  <si>
    <t>Membership</t>
  </si>
  <si>
    <t>HydroPure Whey Protein</t>
  </si>
  <si>
    <t>Supplement</t>
  </si>
  <si>
    <t>PharmGrade Multivitamin</t>
  </si>
  <si>
    <t>Omega-3 Fish Oil</t>
  </si>
  <si>
    <t>HydroPure Vanilla Protein</t>
  </si>
  <si>
    <t xml:space="preserve">  📅 MONTHLY SUMMARY 2026  —  Auto-calculated from transaction log</t>
  </si>
  <si>
    <t>Membership (₹)</t>
  </si>
  <si>
    <t>Supplement (₹)</t>
  </si>
  <si>
    <t># Transactions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</si>
  <si>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</si>
  <si>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</si>
  <si>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</si>
  <si>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</si>
  <si>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</si>
  <si>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</si>
  <si>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</si>
  <si>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</si>
  <si>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</si>
  <si>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📊 YEARLY TOTAL 2026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</si>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</sst>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days&quot;"/>
    <numFmt numFmtId="165" formatCode="\₹#,##0"/>
  </numFmts>
  <fonts count="3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2C3E50"/>
      <name val="Arial"/>
      <family val="2"/>
    </font>
    <font>
      <i/>
      <sz val="9"/>
      <color rgb="FFF39C12"/>
      <name val="Arial"/>
      <family val="2"/>
    </font>
    <font>
      <b/>
      <sz val="9"/>
      <color rgb="FF1A5276"/>
      <name val="Arial"/>
      <family val="2"/>
    </font>
    <font>
      <b/>
      <sz val="16"/>
      <color rgb="FF1E8449"/>
      <name val="Arial"/>
      <family val="2"/>
    </font>
    <font>
      <b/>
      <sz val="16"/>
      <color rgb="FFE67E22"/>
      <name val="Arial"/>
      <family val="2"/>
    </font>
    <font>
      <b/>
      <sz val="16"/>
      <color rgb="FFC0392B"/>
      <name val="Arial"/>
      <family val="2"/>
    </font>
    <font>
      <b/>
      <sz val="16"/>
      <color rgb="FFF39C12"/>
      <name val="Arial"/>
      <family val="2"/>
    </font>
    <font>
      <b/>
      <sz val="16"/>
      <color rgb="FF2C3E50"/>
      <name val="Arial"/>
      <family val="2"/>
    </font>
    <font>
      <b/>
      <sz val="8"/>
      <color rgb="FF1A5276"/>
      <name val="Arial"/>
      <family val="2"/>
    </font>
    <font>
      <b/>
      <u/>
      <sz val="10"/>
      <color rgb="FF2E86C1"/>
      <name val="Arial"/>
      <family val="2"/>
    </font>
    <font>
      <b/>
      <sz val="9"/>
      <color rgb="FF1E8449"/>
      <name val="Arial"/>
      <family val="2"/>
    </font>
    <font>
      <b/>
      <sz val="9"/>
      <color rgb="FF1A7A44"/>
      <name val="Arial"/>
      <family val="2"/>
    </font>
    <font>
      <sz val="10"/>
      <color rgb="FF2C3E50"/>
      <name val="Arial"/>
      <family val="2"/>
    </font>
    <font>
      <b/>
      <sz val="10"/>
      <color rgb="FF2C3E50"/>
      <name val="Arial"/>
      <family val="2"/>
    </font>
    <font>
      <b/>
      <sz val="9"/>
      <color rgb="FF2C3E50"/>
      <name val="Arial"/>
      <family val="2"/>
    </font>
    <font>
      <sz val="9"/>
      <color rgb="FF1A5276"/>
      <name val="Arial"/>
      <family val="2"/>
    </font>
    <font>
      <b/>
      <sz val="10"/>
      <color rgb="FFF39C12"/>
      <name val="Arial"/>
      <family val="2"/>
    </font>
    <font>
      <b/>
      <sz val="9"/>
      <color rgb="FFF39C12"/>
      <name val="Arial"/>
      <family val="2"/>
    </font>
    <font>
      <b/>
      <sz val="9"/>
      <color rgb="FFE67E22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i/>
      <sz val="8"/>
      <color rgb="FF1E8449"/>
      <name val="Arial"/>
      <family val="2"/>
    </font>
    <font>
      <sz val="9"/>
      <color rgb="FFF39C12"/>
      <name val="Arial"/>
      <family val="2"/>
    </font>
    <font>
      <i/>
      <sz val="8"/>
      <color rgb="FF1A5276"/>
      <name val="Arial"/>
      <family val="2"/>
    </font>
    <font>
      <i/>
      <sz val="8"/>
      <color rgb="FFF39C12"/>
      <name val="Arial"/>
      <family val="2"/>
    </font>
    <font>
      <b/>
      <sz val="10"/>
      <color rgb="FF1E8449"/>
      <name val="Arial"/>
      <family val="2"/>
    </font>
    <font>
      <b/>
      <sz val="10"/>
      <color rgb="FF1A5276"/>
      <name val="Arial"/>
      <family val="2"/>
    </font>
    <font>
      <i/>
      <sz val="9"/>
      <color rgb="FF2C3E50"/>
      <name val="Arial"/>
      <family val="2"/>
    </font>
    <font>
      <b/>
      <sz val="16"/>
      <color rgb="FF1A5276"/>
      <name val="Arial"/>
      <family val="2"/>
    </font>
    <font>
      <i/>
      <sz val="8"/>
      <color rgb="FF2C3E5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2E86C1"/>
        <bgColor rgb="FF008080"/>
      </patternFill>
    </fill>
    <fill>
      <patternFill patternType="solid">
        <fgColor rgb="FFFFFFFF"/>
        <bgColor rgb="FFFFFDE7"/>
      </patternFill>
    </fill>
    <fill>
      <patternFill patternType="solid">
        <fgColor rgb="FFF2F3F4"/>
        <bgColor rgb="FFEBF5FB"/>
      </patternFill>
    </fill>
    <fill>
      <patternFill patternType="solid">
        <fgColor rgb="FFFFFDE7"/>
        <bgColor rgb="FFFEF9E7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DEBD0"/>
        <bgColor rgb="FFFADBD8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FFDE7"/>
      </patternFill>
    </fill>
    <fill>
      <patternFill patternType="solid">
        <fgColor rgb="FFE9F7EF"/>
        <bgColor rgb="FFEBF5FB"/>
      </patternFill>
    </fill>
    <fill>
      <patternFill patternType="solid">
        <fgColor rgb="FF6C3483"/>
        <bgColor rgb="FF993366"/>
      </patternFill>
    </fill>
    <fill>
      <patternFill patternType="solid">
        <fgColor rgb="FFEBF5FB"/>
        <bgColor rgb="FFE9F7EF"/>
      </patternFill>
    </fill>
  </fills>
  <borders count="3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21" fillId="11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 wrapText="1"/>
    </xf>
    <xf numFmtId="15" fontId="16" fillId="4" borderId="1" xfId="0" applyNumberFormat="1" applyFont="1" applyFill="1" applyBorder="1" applyAlignment="1">
      <alignment horizontal="center" vertical="center" wrapText="1"/>
    </xf>
    <xf numFmtId="164" fontId="1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15" fontId="16" fillId="5" borderId="1" xfId="0" applyNumberFormat="1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center" vertical="center" wrapText="1"/>
    </xf>
    <xf numFmtId="0" fontId="26" fillId="11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5" fontId="6" fillId="6" borderId="1" xfId="0" applyNumberFormat="1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 vertical="center" wrapText="1"/>
    </xf>
    <xf numFmtId="15" fontId="16" fillId="4" borderId="1" xfId="0" applyNumberFormat="1" applyFont="1" applyFill="1" applyBorder="1" applyAlignment="1">
      <alignment horizontal="left" vertical="center" wrapText="1"/>
    </xf>
    <xf numFmtId="15" fontId="29" fillId="8" borderId="1" xfId="0" applyNumberFormat="1" applyFont="1" applyFill="1" applyBorder="1" applyAlignment="1">
      <alignment horizontal="left" vertical="center" wrapText="1"/>
    </xf>
    <xf numFmtId="164" fontId="30" fillId="6" borderId="1" xfId="0" applyNumberFormat="1" applyFont="1" applyFill="1" applyBorder="1" applyAlignment="1">
      <alignment horizontal="left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9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center" vertical="center" wrapText="1"/>
    </xf>
    <xf numFmtId="15" fontId="4" fillId="5" borderId="1" xfId="0" applyNumberFormat="1" applyFont="1" applyFill="1" applyBorder="1" applyAlignment="1">
      <alignment horizontal="center" vertical="center" wrapText="1"/>
    </xf>
    <xf numFmtId="15" fontId="4" fillId="4" borderId="1" xfId="0" applyNumberFormat="1" applyFont="1" applyFill="1" applyBorder="1" applyAlignment="1">
      <alignment horizontal="left" vertical="center" wrapText="1"/>
    </xf>
    <xf numFmtId="15" fontId="4" fillId="5" borderId="1" xfId="0" applyNumberFormat="1" applyFont="1" applyFill="1" applyBorder="1" applyAlignment="1">
      <alignment horizontal="left" vertical="center" wrapText="1"/>
    </xf>
    <xf numFmtId="165" fontId="24" fillId="3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65" fontId="14" fillId="8" borderId="1" xfId="0" applyNumberFormat="1" applyFont="1" applyFill="1" applyBorder="1" applyAlignment="1">
      <alignment horizontal="center" vertical="center" wrapText="1"/>
    </xf>
    <xf numFmtId="165" fontId="14" fillId="4" borderId="1" xfId="0" applyNumberFormat="1" applyFont="1" applyFill="1" applyBorder="1" applyAlignment="1">
      <alignment horizontal="center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4" fillId="3" borderId="0" xfId="0" applyFont="1" applyFill="1" applyAlignment="1">
      <alignment horizontal="left" vertical="center" wrapText="1"/>
    </xf>
    <xf numFmtId="0" fontId="25" fillId="8" borderId="0" xfId="0" applyFont="1" applyFill="1" applyAlignment="1">
      <alignment horizontal="left" vertical="center" wrapText="1"/>
    </xf>
    <xf numFmtId="0" fontId="27" fillId="7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28" fillId="6" borderId="0" xfId="0" applyFont="1" applyFill="1" applyAlignment="1">
      <alignment horizontal="left" vertical="center" wrapText="1"/>
    </xf>
    <xf numFmtId="0" fontId="24" fillId="13" borderId="0" xfId="0" applyFont="1" applyFill="1" applyAlignment="1">
      <alignment horizontal="left" vertical="center" wrapText="1"/>
    </xf>
    <xf numFmtId="0" fontId="27" fillId="14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left" vertical="top" wrapText="1"/>
    </xf>
    <xf numFmtId="165" fontId="7" fillId="8" borderId="0" xfId="0" applyNumberFormat="1" applyFont="1" applyFill="1" applyAlignment="1">
      <alignment horizontal="center" vertical="center" wrapText="1"/>
    </xf>
    <xf numFmtId="165" fontId="9" fillId="10" borderId="0" xfId="0" applyNumberFormat="1" applyFont="1" applyFill="1" applyAlignment="1">
      <alignment horizontal="center" vertical="center" wrapText="1"/>
    </xf>
    <xf numFmtId="165" fontId="32" fillId="7" borderId="0" xfId="0" applyNumberFormat="1" applyFont="1" applyFill="1" applyAlignment="1">
      <alignment horizontal="center" vertical="center" wrapText="1"/>
    </xf>
    <xf numFmtId="0" fontId="21" fillId="6" borderId="0" xfId="0" applyFont="1" applyFill="1" applyAlignment="1">
      <alignment horizontal="center" vertical="center" wrapText="1"/>
    </xf>
    <xf numFmtId="0" fontId="3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7">
    <dxf>
      <font>
        <b/>
        <color rgb="FFE67E22"/>
        <name val="Arial"/>
        <charset val="1"/>
      </font>
      <fill>
        <patternFill>
          <bgColor rgb="FFFDEBD0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F39C12"/>
        <name val="Arial"/>
        <charset val="1"/>
      </font>
      <fill>
        <patternFill>
          <bgColor rgb="FFFFFDE7"/>
        </patternFill>
      </fill>
    </dxf>
    <dxf>
      <font>
        <b/>
        <color rgb="FFE67E22"/>
        <name val="Arial"/>
        <charset val="1"/>
      </font>
      <fill>
        <patternFill>
          <bgColor rgb="FFFDEBD0"/>
        </patternFill>
      </fill>
    </dxf>
    <dxf>
      <font>
        <b/>
        <color rgb="FFC0392B"/>
        <name val="Arial"/>
        <charset val="1"/>
      </font>
      <fill>
        <patternFill>
          <bgColor rgb="FFFADBD8"/>
        </patternFill>
      </fill>
    </dxf>
    <dxf>
      <font>
        <b/>
        <color rgb="FFE67E22"/>
        <name val="Arial"/>
        <charset val="1"/>
      </font>
      <fill>
        <patternFill>
          <bgColor rgb="FFFDEBD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4"/>
      <rgbColor rgb="FFBDC3C7"/>
      <rgbColor rgb="FF808080"/>
      <rgbColor rgb="FF9999FF"/>
      <rgbColor rgb="FF6C3483"/>
      <rgbColor rgb="FFFFFDE7"/>
      <rgbColor rgb="FFD6EAF8"/>
      <rgbColor rgb="FF660066"/>
      <rgbColor rgb="FFFF8080"/>
      <rgbColor rgb="FF0066CC"/>
      <rgbColor rgb="FFEBF5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9F7EF"/>
      <rgbColor rgb="FFD5F5E3"/>
      <rgbColor rgb="FFFDEBD0"/>
      <rgbColor rgb="FFF2F3F4"/>
      <rgbColor rgb="FFFEF9E7"/>
      <rgbColor rgb="FFCC99FF"/>
      <rgbColor rgb="FFFADBD8"/>
      <rgbColor rgb="FF2E86C1"/>
      <rgbColor rgb="FF33CCCC"/>
      <rgbColor rgb="FF99CC00"/>
      <rgbColor rgb="FFFFCC00"/>
      <rgbColor rgb="FFF39C12"/>
      <rgbColor rgb="FFE67E22"/>
      <rgbColor rgb="FF666699"/>
      <rgbColor rgb="FF969696"/>
      <rgbColor rgb="FF1A5276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tnessVitness_CRM_v4.xlsx" TargetMode="External"/><Relationship Id="rId3" Type="http://schemas.openxmlformats.org/officeDocument/2006/relationships/hyperlink" Target="FitnessVitness_CRM_v4.xlsx" TargetMode="External"/><Relationship Id="rId7" Type="http://schemas.openxmlformats.org/officeDocument/2006/relationships/hyperlink" Target="FitnessVitness_CRM_v4.xlsx" TargetMode="External"/><Relationship Id="rId2" Type="http://schemas.openxmlformats.org/officeDocument/2006/relationships/hyperlink" Target="FitnessVitness_CRM_v4.xlsx" TargetMode="External"/><Relationship Id="rId1" Type="http://schemas.openxmlformats.org/officeDocument/2006/relationships/hyperlink" Target="FitnessVitness_CRM_v4.xlsx" TargetMode="External"/><Relationship Id="rId6" Type="http://schemas.openxmlformats.org/officeDocument/2006/relationships/hyperlink" Target="FitnessVitness_CRM_v4.xlsx" TargetMode="External"/><Relationship Id="rId5" Type="http://schemas.openxmlformats.org/officeDocument/2006/relationships/hyperlink" Target="FitnessVitness_CRM_v4.xlsx" TargetMode="External"/><Relationship Id="rId10" Type="http://schemas.openxmlformats.org/officeDocument/2006/relationships/hyperlink" Target="FitnessVitness_CRM_v4.xlsx" TargetMode="External"/><Relationship Id="rId4" Type="http://schemas.openxmlformats.org/officeDocument/2006/relationships/hyperlink" Target="FitnessVitness_CRM_v4.xlsx" TargetMode="External"/><Relationship Id="rId9" Type="http://schemas.openxmlformats.org/officeDocument/2006/relationships/hyperlink" Target="FitnessVitness_CRM_v4.xlsx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FitnessVitness_CRM_v4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8" width="22" customWidth="1"/>
    <col min="9" max="9" width="2" customWidth="1"/>
  </cols>
  <sheetData>
    <row r="1" spans="1:9" ht="43.5" customHeight="1" x14ac:dyDescent="0.2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5.75" customHeight="1" x14ac:dyDescent="0.2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9" ht="9.75" customHeight="1" x14ac:dyDescent="0.2"/>
    <row r="4" spans="1:9" ht="27.75" customHeight="1" x14ac:dyDescent="0.2">
      <c r="B4" s="13" t="s">
        <v>2</v>
      </c>
      <c r="C4" s="13" t="s">
        <v>3</v>
      </c>
      <c r="D4" s="13" t="s">
        <v>4</v>
      </c>
      <c r="E4" s="13" t="s">
        <v>5</v>
      </c>
      <c r="F4" s="13" t="s">
        <v>6</v>
      </c>
      <c r="G4" s="13" t="s">
        <v>7</v>
      </c>
      <c r="H4" s="13" t="s">
        <v>8</v>
      </c>
      <c r="I4" s="13" t="s">
        <v>9</v>
      </c>
    </row>
    <row r="5" spans="1:9" ht="19.5" customHeight="1" x14ac:dyDescent="0.2">
      <c r="B5" s="14" t="s">
        <v>10</v>
      </c>
      <c r="C5" s="14" t="s">
        <v>11</v>
      </c>
      <c r="D5" s="14" t="s">
        <v>12</v>
      </c>
      <c r="E5" s="14" t="s">
        <v>13</v>
      </c>
      <c r="F5" s="14" t="s">
        <v>14</v>
      </c>
      <c r="G5" s="14" t="s">
        <v>15</v>
      </c>
      <c r="H5" s="14" t="s">
        <v>16</v>
      </c>
      <c r="I5" s="14" t="s">
        <v>17</v>
      </c>
    </row>
    <row r="6" spans="1:9" ht="19.5" customHeight="1" x14ac:dyDescent="0.2">
      <c r="B6" s="15" t="s">
        <v>18</v>
      </c>
      <c r="C6" s="15" t="s">
        <v>19</v>
      </c>
      <c r="D6" s="15" t="s">
        <v>20</v>
      </c>
      <c r="E6" s="15" t="s">
        <v>21</v>
      </c>
      <c r="F6" s="15" t="s">
        <v>22</v>
      </c>
      <c r="G6" s="15" t="s">
        <v>23</v>
      </c>
      <c r="H6" s="15" t="s">
        <v>24</v>
      </c>
      <c r="I6" s="15" t="s">
        <v>25</v>
      </c>
    </row>
    <row r="7" spans="1:9" ht="19.5" customHeight="1" x14ac:dyDescent="0.2">
      <c r="B7" s="14" t="s">
        <v>26</v>
      </c>
      <c r="C7" s="14" t="s">
        <v>27</v>
      </c>
      <c r="D7" s="14" t="s">
        <v>28</v>
      </c>
      <c r="E7" s="14" t="s">
        <v>29</v>
      </c>
      <c r="F7" s="14" t="s">
        <v>30</v>
      </c>
      <c r="G7" s="14" t="s">
        <v>31</v>
      </c>
      <c r="H7" s="14" t="s">
        <v>32</v>
      </c>
      <c r="I7" s="14" t="s">
        <v>33</v>
      </c>
    </row>
    <row r="8" spans="1:9" ht="19.5" customHeight="1" x14ac:dyDescent="0.2">
      <c r="B8" s="15" t="s">
        <v>34</v>
      </c>
      <c r="D8" s="15" t="s">
        <v>35</v>
      </c>
      <c r="E8" s="15" t="s">
        <v>36</v>
      </c>
      <c r="F8" s="15" t="s">
        <v>37</v>
      </c>
      <c r="G8" s="15" t="s">
        <v>38</v>
      </c>
      <c r="I8" s="15" t="s">
        <v>39</v>
      </c>
    </row>
    <row r="9" spans="1:9" ht="19.5" customHeight="1" x14ac:dyDescent="0.2">
      <c r="B9" s="14" t="s">
        <v>40</v>
      </c>
      <c r="D9" s="14" t="s">
        <v>41</v>
      </c>
      <c r="F9" s="14" t="s">
        <v>42</v>
      </c>
      <c r="G9" s="14" t="s">
        <v>43</v>
      </c>
      <c r="I9" s="14" t="s">
        <v>44</v>
      </c>
    </row>
    <row r="10" spans="1:9" ht="19.5" customHeight="1" x14ac:dyDescent="0.2">
      <c r="D10" s="15" t="s">
        <v>45</v>
      </c>
      <c r="I10" s="15" t="s">
        <v>46</v>
      </c>
    </row>
    <row r="11" spans="1:9" ht="19.5" customHeight="1" x14ac:dyDescent="0.2">
      <c r="D11" s="14" t="s">
        <v>47</v>
      </c>
    </row>
    <row r="12" spans="1:9" ht="19.5" customHeight="1" x14ac:dyDescent="0.2">
      <c r="D12" s="15" t="s">
        <v>48</v>
      </c>
    </row>
    <row r="15" spans="1:9" ht="27.75" customHeight="1" x14ac:dyDescent="0.2">
      <c r="B15" s="2" t="s">
        <v>49</v>
      </c>
      <c r="C15" s="2"/>
      <c r="D15" s="2"/>
      <c r="E15" s="2"/>
      <c r="F15" s="2"/>
      <c r="G15" s="2"/>
      <c r="H15" s="2"/>
      <c r="I15" s="2"/>
    </row>
    <row r="18" spans="2:5" ht="15" customHeight="1" x14ac:dyDescent="0.2">
      <c r="B18" s="1" t="s">
        <v>50</v>
      </c>
      <c r="C18" s="1"/>
      <c r="D18" s="1"/>
      <c r="E18" s="1"/>
    </row>
    <row r="19" spans="2:5" ht="19.5" customHeight="1" x14ac:dyDescent="0.2">
      <c r="B19" s="16" t="s">
        <v>13</v>
      </c>
      <c r="C19" s="17">
        <v>30</v>
      </c>
    </row>
    <row r="20" spans="2:5" ht="19.5" customHeight="1" x14ac:dyDescent="0.2">
      <c r="B20" s="16" t="s">
        <v>21</v>
      </c>
      <c r="C20" s="17">
        <v>90</v>
      </c>
    </row>
    <row r="21" spans="2:5" ht="19.5" customHeight="1" x14ac:dyDescent="0.2">
      <c r="B21" s="16" t="s">
        <v>29</v>
      </c>
      <c r="C21" s="17">
        <v>180</v>
      </c>
    </row>
    <row r="22" spans="2:5" ht="19.5" customHeight="1" x14ac:dyDescent="0.2">
      <c r="B22" s="16" t="s">
        <v>36</v>
      </c>
      <c r="C22" s="17">
        <v>365</v>
      </c>
    </row>
  </sheetData>
  <mergeCells count="4">
    <mergeCell ref="A1:I1"/>
    <mergeCell ref="A2:I2"/>
    <mergeCell ref="B15:I15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showGridLines="0" tabSelected="1" zoomScaleNormal="100" workbookViewId="0">
      <selection activeCell="A17" sqref="A17:XFD17"/>
    </sheetView>
  </sheetViews>
  <sheetFormatPr baseColWidth="10" defaultColWidth="8.6640625" defaultRowHeight="15" x14ac:dyDescent="0.2"/>
  <cols>
    <col min="1" max="1" width="2" customWidth="1"/>
    <col min="2" max="2" width="10" customWidth="1"/>
    <col min="3" max="3" width="22" customWidth="1"/>
    <col min="4" max="4" width="11" customWidth="1"/>
    <col min="5" max="7" width="14" customWidth="1"/>
    <col min="8" max="8" width="13" customWidth="1"/>
    <col min="9" max="9" width="18" customWidth="1"/>
    <col min="10" max="10" width="14" customWidth="1"/>
    <col min="11" max="11" width="13" customWidth="1"/>
    <col min="12" max="12" width="16" customWidth="1"/>
    <col min="13" max="13" width="14" customWidth="1"/>
    <col min="14" max="14" width="11.33203125" customWidth="1"/>
  </cols>
  <sheetData>
    <row r="1" spans="1:14" ht="43.5" customHeight="1" x14ac:dyDescent="0.2">
      <c r="A1" s="12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4" ht="15.75" customHeight="1" x14ac:dyDescent="0.2">
      <c r="A2" s="11" t="s">
        <v>52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9.75" customHeight="1" x14ac:dyDescent="0.2"/>
    <row r="4" spans="1:14" ht="36" customHeight="1" x14ac:dyDescent="0.2">
      <c r="B4" s="10">
        <f>COUNTIF(E6:E15,"Active")</f>
        <v>0</v>
      </c>
      <c r="C4" s="10"/>
      <c r="D4" s="9">
        <f>COUNTIF(E6:E15,"Hold")</f>
        <v>0</v>
      </c>
      <c r="E4" s="9"/>
      <c r="F4" s="8">
        <f>COUNTIF(F6:F15,"Poor")+COUNTIF(F6:F15,"Very Poor")</f>
        <v>0</v>
      </c>
      <c r="G4" s="8"/>
      <c r="H4" s="7">
        <f ca="1">COUNTIF(I6:I15,"*OVERDUE*")</f>
        <v>0</v>
      </c>
      <c r="I4" s="7"/>
      <c r="J4" s="6">
        <f>COUNTIF(K6:K15,"&lt;14")</f>
        <v>0</v>
      </c>
      <c r="K4" s="6"/>
      <c r="L4" s="5">
        <f>COUNTIF(M6:M15,"5*")</f>
        <v>2</v>
      </c>
      <c r="M4" s="5"/>
    </row>
    <row r="5" spans="1:14" ht="18" customHeight="1" x14ac:dyDescent="0.2">
      <c r="B5" s="4" t="s">
        <v>53</v>
      </c>
      <c r="C5" s="4"/>
      <c r="D5" s="4" t="s">
        <v>54</v>
      </c>
      <c r="E5" s="4"/>
      <c r="F5" s="4" t="s">
        <v>55</v>
      </c>
      <c r="G5" s="4"/>
      <c r="H5" s="4" t="s">
        <v>56</v>
      </c>
      <c r="I5" s="4"/>
      <c r="J5" s="4" t="s">
        <v>57</v>
      </c>
      <c r="K5" s="4"/>
      <c r="L5" s="4" t="s">
        <v>58</v>
      </c>
      <c r="M5" s="4"/>
    </row>
    <row r="6" spans="1:14" ht="6" customHeight="1" x14ac:dyDescent="0.2"/>
    <row r="7" spans="1:14" ht="37.5" customHeight="1" x14ac:dyDescent="0.2">
      <c r="A7" s="13" t="s">
        <v>59</v>
      </c>
      <c r="B7" s="13" t="s">
        <v>60</v>
      </c>
      <c r="C7" s="13" t="s">
        <v>61</v>
      </c>
      <c r="D7" s="13" t="s">
        <v>62</v>
      </c>
      <c r="E7" s="13" t="s">
        <v>63</v>
      </c>
      <c r="F7" s="13" t="s">
        <v>64</v>
      </c>
      <c r="G7" s="13" t="s">
        <v>65</v>
      </c>
      <c r="H7" s="13" t="s">
        <v>66</v>
      </c>
      <c r="I7" s="13" t="s">
        <v>67</v>
      </c>
      <c r="J7" s="13" t="s">
        <v>68</v>
      </c>
      <c r="K7" s="13" t="s">
        <v>69</v>
      </c>
      <c r="L7" s="13" t="s">
        <v>70</v>
      </c>
      <c r="M7" s="13" t="s">
        <v>71</v>
      </c>
      <c r="N7" s="13" t="s">
        <v>72</v>
      </c>
    </row>
    <row r="8" spans="1:14" ht="24" customHeight="1" x14ac:dyDescent="0.2">
      <c r="A8" s="18" t="s">
        <v>73</v>
      </c>
      <c r="B8" s="19" t="s">
        <v>74</v>
      </c>
      <c r="C8" s="20" t="str">
        <f>'FV-001'!E6</f>
        <v>Active</v>
      </c>
      <c r="D8" s="21" t="str">
        <f>'FV-001'!D6</f>
        <v>Good</v>
      </c>
      <c r="E8" s="22">
        <f>'FV-001'!C6</f>
        <v>46082</v>
      </c>
      <c r="F8" s="22">
        <f>IFERROR(E8+'FV-001'!H6,"")</f>
        <v>46096</v>
      </c>
      <c r="G8" s="23">
        <f t="shared" ref="G8:G17" ca="1" si="0">IFERROR(F8-TODAY(),"")</f>
        <v>-53</v>
      </c>
      <c r="H8" s="24" t="str">
        <f t="shared" ref="H8:H17" ca="1" si="1">IFERROR(IF(G8&lt;0,"🔴 OVERDUE",IF(G8&lt;=5,"🟡 Due Soon","🟢 On Track")),"—")</f>
        <v>🔴 OVERDUE</v>
      </c>
      <c r="I8" s="22" t="str">
        <f ca="1">IFERROR('FV-001'!G6,"")</f>
        <v>Check Plan Type</v>
      </c>
      <c r="J8" s="23" t="str">
        <f t="shared" ref="J8:J17" ca="1" si="2">IFERROR(I8-TODAY(),"")</f>
        <v/>
      </c>
      <c r="K8" s="25" t="str">
        <f>'FV-001'!F6</f>
        <v>3 Month Plan</v>
      </c>
      <c r="L8" s="17" t="str">
        <f>'FV-001'!J6</f>
        <v>BNI</v>
      </c>
      <c r="M8" s="26" t="str">
        <f>'FV-001'!I6</f>
        <v>5 ⭐⭐⭐⭐⭐</v>
      </c>
      <c r="N8" s="24" t="str">
        <f t="shared" ref="N8:N17" ca="1" si="3">IFERROR(IF(AND(OR(D8="Poor",D8="Very Poor"),G8&lt;0),"⚠️ HIGH RISK","✅ OK"),"—")</f>
        <v>✅ OK</v>
      </c>
    </row>
    <row r="9" spans="1:14" ht="24" customHeight="1" x14ac:dyDescent="0.2">
      <c r="A9" s="18" t="s">
        <v>75</v>
      </c>
      <c r="B9" s="27" t="s">
        <v>76</v>
      </c>
      <c r="C9" s="20" t="str">
        <f>'FV-002'!E6</f>
        <v>Active</v>
      </c>
      <c r="D9" s="20" t="str">
        <f>'FV-002'!D6</f>
        <v>Very Good</v>
      </c>
      <c r="E9" s="28">
        <f>'FV-002'!C6</f>
        <v>46096</v>
      </c>
      <c r="F9" s="28">
        <f>IFERROR(E9+'FV-002'!H6,"")</f>
        <v>46117</v>
      </c>
      <c r="G9" s="29">
        <f t="shared" ca="1" si="0"/>
        <v>-32</v>
      </c>
      <c r="H9" s="30" t="str">
        <f t="shared" ca="1" si="1"/>
        <v>🔴 OVERDUE</v>
      </c>
      <c r="I9" s="28" t="str">
        <f ca="1">IFERROR('FV-002'!G6,"")</f>
        <v>Check Plan Type</v>
      </c>
      <c r="J9" s="29" t="str">
        <f t="shared" ca="1" si="2"/>
        <v/>
      </c>
      <c r="K9" s="25" t="str">
        <f>'FV-002'!F6</f>
        <v>6 Month Plan</v>
      </c>
      <c r="L9" s="31" t="str">
        <f>'FV-002'!J6</f>
        <v>Instagram</v>
      </c>
      <c r="M9" s="32" t="str">
        <f>'FV-002'!I6</f>
        <v>4 ⭐⭐⭐⭐</v>
      </c>
      <c r="N9" s="30" t="str">
        <f t="shared" ca="1" si="3"/>
        <v>✅ OK</v>
      </c>
    </row>
    <row r="10" spans="1:14" ht="24" customHeight="1" x14ac:dyDescent="0.2">
      <c r="A10" s="18" t="s">
        <v>77</v>
      </c>
      <c r="B10" s="33" t="s">
        <v>78</v>
      </c>
      <c r="C10" s="20" t="str">
        <f>'FV-003'!E6</f>
        <v>Active</v>
      </c>
      <c r="D10" s="34" t="str">
        <f>'FV-003'!D6</f>
        <v>Poor</v>
      </c>
      <c r="E10" s="22">
        <f>'FV-003'!C6</f>
        <v>46063</v>
      </c>
      <c r="F10" s="22">
        <f>IFERROR(E10+'FV-003'!H6,"")</f>
        <v>46070</v>
      </c>
      <c r="G10" s="23">
        <f t="shared" ca="1" si="0"/>
        <v>-79</v>
      </c>
      <c r="H10" s="24" t="str">
        <f t="shared" ca="1" si="1"/>
        <v>🔴 OVERDUE</v>
      </c>
      <c r="I10" s="22" t="str">
        <f ca="1">IFERROR('FV-003'!G6,"")</f>
        <v>Check Plan Type</v>
      </c>
      <c r="J10" s="23" t="str">
        <f t="shared" ca="1" si="2"/>
        <v/>
      </c>
      <c r="K10" s="25" t="str">
        <f>'FV-003'!F6</f>
        <v>3 Month Plan</v>
      </c>
      <c r="L10" s="17" t="str">
        <f>'FV-003'!J6</f>
        <v>Referral - Existing Client</v>
      </c>
      <c r="M10" s="35" t="str">
        <f>'FV-003'!I6</f>
        <v>3 ⭐⭐⭐</v>
      </c>
      <c r="N10" s="24" t="str">
        <f t="shared" ca="1" si="3"/>
        <v>⚠️ HIGH RISK</v>
      </c>
    </row>
    <row r="11" spans="1:14" ht="24" customHeight="1" x14ac:dyDescent="0.2">
      <c r="A11" s="18" t="s">
        <v>79</v>
      </c>
      <c r="B11" s="27" t="s">
        <v>80</v>
      </c>
      <c r="C11" s="36" t="str">
        <f>'FV-004'!E6</f>
        <v>Hold</v>
      </c>
      <c r="D11" s="37" t="str">
        <f>'FV-004'!D6</f>
        <v>Neutral</v>
      </c>
      <c r="E11" s="28">
        <f>'FV-004'!C6</f>
        <v>46073</v>
      </c>
      <c r="F11" s="28">
        <f>IFERROR(E11+'FV-004'!H6,"")</f>
        <v>46103</v>
      </c>
      <c r="G11" s="29">
        <f t="shared" ca="1" si="0"/>
        <v>-46</v>
      </c>
      <c r="H11" s="30" t="str">
        <f t="shared" ca="1" si="1"/>
        <v>🔴 OVERDUE</v>
      </c>
      <c r="I11" s="28" t="str">
        <f ca="1">IFERROR('FV-004'!G6,"")</f>
        <v>Check Plan Type</v>
      </c>
      <c r="J11" s="29" t="str">
        <f t="shared" ca="1" si="2"/>
        <v/>
      </c>
      <c r="K11" s="25" t="str">
        <f>'FV-004'!F6</f>
        <v>1 Month Plan</v>
      </c>
      <c r="L11" s="31" t="str">
        <f>'FV-004'!J6</f>
        <v>Online / Website</v>
      </c>
      <c r="M11" s="32" t="str">
        <f>'FV-004'!I6</f>
        <v>2 ⭐⭐</v>
      </c>
      <c r="N11" s="30" t="str">
        <f t="shared" ca="1" si="3"/>
        <v>✅ OK</v>
      </c>
    </row>
    <row r="12" spans="1:14" ht="24" customHeight="1" x14ac:dyDescent="0.2">
      <c r="A12" s="18" t="s">
        <v>81</v>
      </c>
      <c r="B12" s="19" t="s">
        <v>82</v>
      </c>
      <c r="C12" s="20" t="str">
        <f>'FV-005'!E6</f>
        <v>Active</v>
      </c>
      <c r="D12" s="38" t="str">
        <f>'FV-005'!D6</f>
        <v>Very Poor</v>
      </c>
      <c r="E12" s="22">
        <f>'FV-005'!C6</f>
        <v>46052</v>
      </c>
      <c r="F12" s="22">
        <f>IFERROR(E12+'FV-005'!H6,"")</f>
        <v>46066</v>
      </c>
      <c r="G12" s="23">
        <f t="shared" ca="1" si="0"/>
        <v>-83</v>
      </c>
      <c r="H12" s="24" t="str">
        <f t="shared" ca="1" si="1"/>
        <v>🔴 OVERDUE</v>
      </c>
      <c r="I12" s="22" t="str">
        <f ca="1">IFERROR('FV-005'!G6,"")</f>
        <v>Check Plan Type</v>
      </c>
      <c r="J12" s="23" t="str">
        <f t="shared" ca="1" si="2"/>
        <v/>
      </c>
      <c r="K12" s="25" t="str">
        <f>'FV-005'!F6</f>
        <v>6 Month Plan</v>
      </c>
      <c r="L12" s="17" t="str">
        <f>'FV-005'!J6</f>
        <v>BNI</v>
      </c>
      <c r="M12" s="26" t="str">
        <f>'FV-005'!I6</f>
        <v>5 ⭐⭐⭐⭐⭐</v>
      </c>
      <c r="N12" s="24" t="str">
        <f t="shared" ca="1" si="3"/>
        <v>⚠️ HIGH RISK</v>
      </c>
    </row>
    <row r="13" spans="1:14" ht="24" customHeight="1" x14ac:dyDescent="0.2">
      <c r="A13" s="18" t="s">
        <v>83</v>
      </c>
      <c r="B13" s="27" t="s">
        <v>84</v>
      </c>
      <c r="C13" s="20" t="str">
        <f>'FV-006'!E6</f>
        <v>Active</v>
      </c>
      <c r="D13" s="21" t="str">
        <f>'FV-006'!D6</f>
        <v>Good</v>
      </c>
      <c r="E13" s="28">
        <f>'FV-006'!C6</f>
        <v>46091</v>
      </c>
      <c r="F13" s="28">
        <f>IFERROR(E13+'FV-006'!H6,"")</f>
        <v>46112</v>
      </c>
      <c r="G13" s="29">
        <f t="shared" ca="1" si="0"/>
        <v>-37</v>
      </c>
      <c r="H13" s="30" t="str">
        <f t="shared" ca="1" si="1"/>
        <v>🔴 OVERDUE</v>
      </c>
      <c r="I13" s="28" t="str">
        <f ca="1">IFERROR('FV-006'!G6,"")</f>
        <v>Check Plan Type</v>
      </c>
      <c r="J13" s="29" t="str">
        <f t="shared" ca="1" si="2"/>
        <v/>
      </c>
      <c r="K13" s="25" t="str">
        <f>'FV-006'!F6</f>
        <v>3 Month Plan</v>
      </c>
      <c r="L13" s="31" t="str">
        <f>'FV-006'!J6</f>
        <v>Referral - Existing Client</v>
      </c>
      <c r="M13" s="32" t="str">
        <f>'FV-006'!I6</f>
        <v>3 ⭐⭐⭐</v>
      </c>
      <c r="N13" s="30" t="str">
        <f t="shared" ca="1" si="3"/>
        <v>✅ OK</v>
      </c>
    </row>
    <row r="14" spans="1:14" ht="24" customHeight="1" x14ac:dyDescent="0.2">
      <c r="A14" s="18" t="s">
        <v>85</v>
      </c>
      <c r="B14" s="33" t="s">
        <v>86</v>
      </c>
      <c r="C14" s="20" t="str">
        <f>'FV-007'!E6</f>
        <v>Active</v>
      </c>
      <c r="D14" s="34" t="str">
        <f>'FV-007'!D6</f>
        <v>Poor</v>
      </c>
      <c r="E14" s="22">
        <f>'FV-007'!C6</f>
        <v>46078</v>
      </c>
      <c r="F14" s="22">
        <f>IFERROR(E14+'FV-007'!H6,"")</f>
        <v>46085</v>
      </c>
      <c r="G14" s="23">
        <f t="shared" ca="1" si="0"/>
        <v>-64</v>
      </c>
      <c r="H14" s="24" t="str">
        <f t="shared" ca="1" si="1"/>
        <v>🔴 OVERDUE</v>
      </c>
      <c r="I14" s="22" t="str">
        <f ca="1">IFERROR('FV-007'!G6,"")</f>
        <v>Check Plan Type</v>
      </c>
      <c r="J14" s="23" t="str">
        <f t="shared" ca="1" si="2"/>
        <v/>
      </c>
      <c r="K14" s="25" t="str">
        <f>'FV-007'!F6</f>
        <v>6 Month Plan</v>
      </c>
      <c r="L14" s="17" t="str">
        <f>'FV-007'!J6</f>
        <v>Referral - Existing Client</v>
      </c>
      <c r="M14" s="35" t="str">
        <f>'FV-007'!I6</f>
        <v>2 ⭐⭐</v>
      </c>
      <c r="N14" s="24" t="str">
        <f t="shared" ca="1" si="3"/>
        <v>⚠️ HIGH RISK</v>
      </c>
    </row>
    <row r="15" spans="1:14" ht="24" customHeight="1" x14ac:dyDescent="0.2">
      <c r="A15" s="18" t="s">
        <v>87</v>
      </c>
      <c r="B15" s="27" t="s">
        <v>88</v>
      </c>
      <c r="C15" s="36" t="str">
        <f>'FV-008'!E6</f>
        <v>Hold</v>
      </c>
      <c r="D15" s="21" t="str">
        <f>'FV-008'!D6</f>
        <v>Good</v>
      </c>
      <c r="E15" s="28">
        <f>'FV-008'!C6</f>
        <v>46099</v>
      </c>
      <c r="F15" s="28">
        <f>IFERROR(E15+'FV-008'!H6,"")</f>
        <v>46129</v>
      </c>
      <c r="G15" s="29">
        <f t="shared" ca="1" si="0"/>
        <v>-20</v>
      </c>
      <c r="H15" s="30" t="str">
        <f t="shared" ca="1" si="1"/>
        <v>🔴 OVERDUE</v>
      </c>
      <c r="I15" s="28" t="str">
        <f ca="1">IFERROR('FV-008'!G6,"")</f>
        <v>Check Plan Type</v>
      </c>
      <c r="J15" s="29" t="str">
        <f t="shared" ca="1" si="2"/>
        <v/>
      </c>
      <c r="K15" s="25" t="str">
        <f>'FV-008'!F6</f>
        <v>1 Month Plan</v>
      </c>
      <c r="L15" s="31" t="str">
        <f>'FV-008'!J6</f>
        <v>Referral - Existing Client</v>
      </c>
      <c r="M15" s="32" t="str">
        <f>'FV-008'!I6</f>
        <v>3 ⭐⭐⭐</v>
      </c>
      <c r="N15" s="30" t="str">
        <f t="shared" ca="1" si="3"/>
        <v>✅ OK</v>
      </c>
    </row>
    <row r="16" spans="1:14" ht="24" customHeight="1" x14ac:dyDescent="0.2">
      <c r="A16" s="18" t="s">
        <v>89</v>
      </c>
      <c r="B16" s="33" t="s">
        <v>90</v>
      </c>
      <c r="C16" s="20" t="str">
        <f>'FV-009'!E6</f>
        <v>Active</v>
      </c>
      <c r="D16" s="20" t="str">
        <f>'FV-009'!D6</f>
        <v>Very Good</v>
      </c>
      <c r="E16" s="22">
        <f>'FV-009'!C6</f>
        <v>46101</v>
      </c>
      <c r="F16" s="22">
        <f>IFERROR(E16+'FV-009'!H6,"")</f>
        <v>46115</v>
      </c>
      <c r="G16" s="23">
        <f t="shared" ca="1" si="0"/>
        <v>-34</v>
      </c>
      <c r="H16" s="24" t="str">
        <f t="shared" ca="1" si="1"/>
        <v>🔴 OVERDUE</v>
      </c>
      <c r="I16" s="22" t="str">
        <f ca="1">IFERROR('FV-009'!G6,"")</f>
        <v>Check Plan Type</v>
      </c>
      <c r="J16" s="23" t="str">
        <f t="shared" ca="1" si="2"/>
        <v/>
      </c>
      <c r="K16" s="25" t="str">
        <f>'FV-009'!F6</f>
        <v>3 Month Plan</v>
      </c>
      <c r="L16" s="17" t="str">
        <f>'FV-009'!J6</f>
        <v>Referral - Existing Client</v>
      </c>
      <c r="M16" s="35" t="str">
        <f>'FV-009'!I6</f>
        <v>4 ⭐⭐⭐⭐</v>
      </c>
      <c r="N16" s="24" t="str">
        <f t="shared" ca="1" si="3"/>
        <v>✅ OK</v>
      </c>
    </row>
    <row r="17" spans="1:14" ht="24" customHeight="1" x14ac:dyDescent="0.2">
      <c r="A17" s="18" t="s">
        <v>91</v>
      </c>
      <c r="B17" s="27" t="s">
        <v>92</v>
      </c>
      <c r="C17" s="20" t="str">
        <f>'FV-010'!E6</f>
        <v>Active</v>
      </c>
      <c r="D17" s="37" t="str">
        <f>'FV-010'!D6</f>
        <v>Neutral</v>
      </c>
      <c r="E17" s="28">
        <f>'FV-010'!C6</f>
        <v>46086</v>
      </c>
      <c r="F17" s="28">
        <f>IFERROR(E17+'FV-010'!H6,"")</f>
        <v>46107</v>
      </c>
      <c r="G17" s="29">
        <f t="shared" ca="1" si="0"/>
        <v>-42</v>
      </c>
      <c r="H17" s="30" t="str">
        <f t="shared" ca="1" si="1"/>
        <v>🔴 OVERDUE</v>
      </c>
      <c r="I17" s="28" t="str">
        <f ca="1">IFERROR('FV-010'!G6,"")</f>
        <v>Check Plan Type</v>
      </c>
      <c r="J17" s="29" t="str">
        <f t="shared" ca="1" si="2"/>
        <v/>
      </c>
      <c r="K17" s="25" t="str">
        <f>'FV-010'!F6</f>
        <v>6 Month Plan</v>
      </c>
      <c r="L17" s="31" t="str">
        <f>'FV-010'!J6</f>
        <v>Referral - Existing Client</v>
      </c>
      <c r="M17" s="32" t="str">
        <f>'FV-010'!I6</f>
        <v>2 ⭐⭐</v>
      </c>
      <c r="N17" s="30" t="str">
        <f t="shared" ca="1" si="3"/>
        <v>✅ OK</v>
      </c>
    </row>
    <row r="20" spans="1:14" ht="27.75" customHeight="1" x14ac:dyDescent="0.2">
      <c r="A20" s="3" t="s">
        <v>93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</sheetData>
  <mergeCells count="15">
    <mergeCell ref="L5:M5"/>
    <mergeCell ref="A20:N20"/>
    <mergeCell ref="B5:C5"/>
    <mergeCell ref="D5:E5"/>
    <mergeCell ref="F5:G5"/>
    <mergeCell ref="H5:I5"/>
    <mergeCell ref="J5:K5"/>
    <mergeCell ref="A1:N1"/>
    <mergeCell ref="A2:N2"/>
    <mergeCell ref="B4:C4"/>
    <mergeCell ref="D4:E4"/>
    <mergeCell ref="F4:G4"/>
    <mergeCell ref="H4:I4"/>
    <mergeCell ref="J4:K4"/>
    <mergeCell ref="L4:M4"/>
  </mergeCells>
  <conditionalFormatting sqref="C8:C17">
    <cfRule type="cellIs" dxfId="16" priority="6" operator="equal">
      <formula>"Hold"</formula>
    </cfRule>
  </conditionalFormatting>
  <conditionalFormatting sqref="G8:G17">
    <cfRule type="cellIs" dxfId="15" priority="2" operator="lessThan">
      <formula>0</formula>
    </cfRule>
    <cfRule type="cellIs" dxfId="14" priority="3" operator="between">
      <formula>0</formula>
      <formula>5</formula>
    </cfRule>
  </conditionalFormatting>
  <conditionalFormatting sqref="J8:J17">
    <cfRule type="cellIs" dxfId="13" priority="4" operator="lessThan">
      <formula>14</formula>
    </cfRule>
    <cfRule type="cellIs" dxfId="12" priority="5" operator="lessThan">
      <formula>0</formula>
    </cfRule>
  </conditionalFormatting>
  <hyperlinks>
    <hyperlink ref="B8" r:id="rId1" location="'FV-001'!A1" xr:uid="{00000000-0004-0000-0100-000000000000}"/>
    <hyperlink ref="B9" r:id="rId2" location="'FV-002'!A1" xr:uid="{00000000-0004-0000-0100-000001000000}"/>
    <hyperlink ref="B10" r:id="rId3" location="'FV-003'!A1" xr:uid="{00000000-0004-0000-0100-000002000000}"/>
    <hyperlink ref="B11" r:id="rId4" location="'FV-004'!A1" xr:uid="{00000000-0004-0000-0100-000003000000}"/>
    <hyperlink ref="B12" r:id="rId5" location="'FV-005'!A1" xr:uid="{00000000-0004-0000-0100-000004000000}"/>
    <hyperlink ref="B13" r:id="rId6" location="'FV-006'!A1" xr:uid="{00000000-0004-0000-0100-000005000000}"/>
    <hyperlink ref="B14" r:id="rId7" location="'FV-007'!A1" xr:uid="{00000000-0004-0000-0100-000006000000}"/>
    <hyperlink ref="B15" r:id="rId8" location="'FV-008'!A1" xr:uid="{00000000-0004-0000-0100-000007000000}"/>
    <hyperlink ref="B16" r:id="rId9" location="'FV-009'!A1" xr:uid="{00000000-0004-0000-0100-000008000000}"/>
    <hyperlink ref="B17" r:id="rId10" location="'FV-010'!A1" xr:uid="{00000000-0004-0000-0100-000009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showGridLines="0" topLeftCell="A4" zoomScaleNormal="100" workbookViewId="0">
      <selection activeCell="C9" sqref="C9"/>
    </sheetView>
  </sheetViews>
  <sheetFormatPr baseColWidth="10" defaultColWidth="8.6640625" defaultRowHeight="15" x14ac:dyDescent="0.2"/>
  <cols>
    <col min="1" max="1" width="2" customWidth="1"/>
    <col min="2" max="2" width="28" customWidth="1"/>
    <col min="3" max="5" width="16" customWidth="1"/>
    <col min="6" max="6" width="28" customWidth="1"/>
    <col min="7" max="7" width="2" customWidth="1"/>
  </cols>
  <sheetData>
    <row r="1" spans="1:7" ht="43.5" customHeight="1" x14ac:dyDescent="0.2">
      <c r="A1" s="12" t="s">
        <v>94</v>
      </c>
      <c r="B1" s="12"/>
      <c r="C1" s="12"/>
      <c r="D1" s="12"/>
      <c r="E1" s="12"/>
      <c r="F1" s="12"/>
      <c r="G1" s="12"/>
    </row>
    <row r="2" spans="1:7" ht="15.75" customHeight="1" x14ac:dyDescent="0.2">
      <c r="A2" s="11" t="s">
        <v>95</v>
      </c>
      <c r="B2" s="11"/>
      <c r="C2" s="11"/>
      <c r="D2" s="11"/>
      <c r="E2" s="11"/>
      <c r="F2" s="11"/>
      <c r="G2" s="11"/>
    </row>
    <row r="3" spans="1:7" ht="12" customHeight="1" x14ac:dyDescent="0.2"/>
    <row r="4" spans="1:7" ht="25.5" customHeight="1" x14ac:dyDescent="0.2">
      <c r="B4" s="75" t="s">
        <v>96</v>
      </c>
      <c r="C4" s="75"/>
      <c r="D4" s="75"/>
      <c r="E4" s="75"/>
      <c r="F4" s="75"/>
    </row>
    <row r="5" spans="1:7" ht="30" customHeight="1" x14ac:dyDescent="0.2">
      <c r="B5" s="13" t="s">
        <v>4</v>
      </c>
      <c r="C5" s="13" t="s">
        <v>97</v>
      </c>
      <c r="D5" s="13" t="s">
        <v>98</v>
      </c>
      <c r="E5" s="13" t="s">
        <v>99</v>
      </c>
      <c r="F5" s="13" t="s">
        <v>100</v>
      </c>
    </row>
    <row r="6" spans="1:7" ht="21.75" customHeight="1" x14ac:dyDescent="0.2">
      <c r="B6" s="39" t="s">
        <v>12</v>
      </c>
      <c r="C6" s="17">
        <v>2</v>
      </c>
      <c r="D6" s="17" t="s">
        <v>101</v>
      </c>
      <c r="E6" s="17" t="s">
        <v>102</v>
      </c>
      <c r="F6" s="14" t="s">
        <v>103</v>
      </c>
    </row>
    <row r="7" spans="1:7" ht="21.75" customHeight="1" x14ac:dyDescent="0.2">
      <c r="B7" s="40" t="s">
        <v>20</v>
      </c>
      <c r="C7" s="31">
        <v>1</v>
      </c>
      <c r="D7" s="31" t="s">
        <v>104</v>
      </c>
      <c r="E7" s="31" t="s">
        <v>105</v>
      </c>
      <c r="F7" s="15" t="s">
        <v>106</v>
      </c>
    </row>
    <row r="8" spans="1:7" ht="21.75" customHeight="1" x14ac:dyDescent="0.2">
      <c r="B8" s="39" t="s">
        <v>28</v>
      </c>
      <c r="C8" s="17" t="s">
        <v>107</v>
      </c>
      <c r="D8" s="17" t="s">
        <v>108</v>
      </c>
      <c r="E8" s="17" t="s">
        <v>107</v>
      </c>
      <c r="F8" s="14"/>
    </row>
    <row r="9" spans="1:7" ht="21.75" customHeight="1" x14ac:dyDescent="0.2">
      <c r="B9" s="41" t="s">
        <v>35</v>
      </c>
      <c r="C9" s="31">
        <v>6</v>
      </c>
      <c r="D9" s="31" t="s">
        <v>109</v>
      </c>
      <c r="E9" s="31" t="s">
        <v>110</v>
      </c>
      <c r="F9" s="15" t="s">
        <v>111</v>
      </c>
    </row>
    <row r="10" spans="1:7" ht="21.75" customHeight="1" x14ac:dyDescent="0.2">
      <c r="B10" s="39" t="s">
        <v>41</v>
      </c>
      <c r="C10" s="17" t="s">
        <v>107</v>
      </c>
      <c r="D10" s="17" t="s">
        <v>108</v>
      </c>
      <c r="E10" s="17" t="s">
        <v>107</v>
      </c>
      <c r="F10" s="14"/>
    </row>
    <row r="11" spans="1:7" ht="21.75" customHeight="1" x14ac:dyDescent="0.2">
      <c r="B11" s="40" t="s">
        <v>45</v>
      </c>
      <c r="C11" s="31" t="s">
        <v>107</v>
      </c>
      <c r="D11" s="31" t="s">
        <v>108</v>
      </c>
      <c r="E11" s="31" t="s">
        <v>107</v>
      </c>
      <c r="F11" s="15"/>
    </row>
    <row r="12" spans="1:7" ht="21.75" customHeight="1" x14ac:dyDescent="0.2">
      <c r="B12" s="39" t="s">
        <v>47</v>
      </c>
      <c r="C12" s="17">
        <v>1</v>
      </c>
      <c r="D12" s="17" t="s">
        <v>104</v>
      </c>
      <c r="E12" s="17" t="s">
        <v>112</v>
      </c>
      <c r="F12" s="14" t="s">
        <v>113</v>
      </c>
    </row>
    <row r="13" spans="1:7" ht="21.75" customHeight="1" x14ac:dyDescent="0.2">
      <c r="B13" s="40" t="s">
        <v>48</v>
      </c>
      <c r="C13" s="31" t="s">
        <v>107</v>
      </c>
      <c r="D13" s="31" t="s">
        <v>108</v>
      </c>
      <c r="E13" s="31" t="s">
        <v>107</v>
      </c>
      <c r="F13" s="15"/>
    </row>
    <row r="14" spans="1:7" ht="18" customHeight="1" x14ac:dyDescent="0.2">
      <c r="B14" s="76" t="s">
        <v>114</v>
      </c>
      <c r="C14" s="76"/>
      <c r="D14" s="76"/>
      <c r="E14" s="76"/>
      <c r="F14" s="76"/>
    </row>
    <row r="15" spans="1:7" ht="12" customHeight="1" x14ac:dyDescent="0.2"/>
    <row r="17" spans="2:6" ht="25.5" customHeight="1" x14ac:dyDescent="0.2">
      <c r="B17" s="75" t="s">
        <v>115</v>
      </c>
      <c r="C17" s="75"/>
      <c r="D17" s="75"/>
      <c r="E17" s="75"/>
      <c r="F17" s="75"/>
    </row>
    <row r="18" spans="2:6" ht="30" customHeight="1" x14ac:dyDescent="0.2">
      <c r="B18" s="13" t="s">
        <v>6</v>
      </c>
      <c r="C18" s="13" t="s">
        <v>97</v>
      </c>
      <c r="D18" s="13" t="s">
        <v>98</v>
      </c>
      <c r="E18" s="13" t="s">
        <v>116</v>
      </c>
    </row>
    <row r="19" spans="2:6" ht="21.75" customHeight="1" x14ac:dyDescent="0.2">
      <c r="B19" s="26" t="s">
        <v>117</v>
      </c>
      <c r="C19" s="42">
        <v>2</v>
      </c>
      <c r="D19" s="42" t="s">
        <v>101</v>
      </c>
      <c r="E19" s="43" t="s">
        <v>118</v>
      </c>
    </row>
    <row r="20" spans="2:6" ht="21.75" customHeight="1" x14ac:dyDescent="0.2">
      <c r="B20" s="44" t="s">
        <v>119</v>
      </c>
      <c r="C20" s="31">
        <v>2</v>
      </c>
      <c r="D20" s="31" t="s">
        <v>101</v>
      </c>
      <c r="E20" s="15" t="s">
        <v>120</v>
      </c>
    </row>
    <row r="21" spans="2:6" ht="21.75" customHeight="1" x14ac:dyDescent="0.2">
      <c r="B21" s="45" t="s">
        <v>121</v>
      </c>
      <c r="C21" s="17">
        <v>3</v>
      </c>
      <c r="D21" s="17" t="s">
        <v>122</v>
      </c>
      <c r="E21" s="14" t="s">
        <v>123</v>
      </c>
    </row>
    <row r="22" spans="2:6" ht="21.75" customHeight="1" x14ac:dyDescent="0.2">
      <c r="B22" s="44" t="s">
        <v>124</v>
      </c>
      <c r="C22" s="31">
        <v>3</v>
      </c>
      <c r="D22" s="31" t="s">
        <v>122</v>
      </c>
      <c r="E22" s="15" t="s">
        <v>125</v>
      </c>
    </row>
    <row r="23" spans="2:6" ht="21.75" customHeight="1" x14ac:dyDescent="0.2">
      <c r="B23" s="45" t="s">
        <v>126</v>
      </c>
      <c r="C23" s="17" t="s">
        <v>107</v>
      </c>
      <c r="D23" s="17" t="s">
        <v>108</v>
      </c>
      <c r="E23" s="14" t="s">
        <v>127</v>
      </c>
    </row>
    <row r="24" spans="2:6" ht="12" customHeight="1" x14ac:dyDescent="0.2"/>
    <row r="25" spans="2:6" ht="25.5" customHeight="1" x14ac:dyDescent="0.2">
      <c r="B25" s="75" t="s">
        <v>128</v>
      </c>
      <c r="C25" s="75"/>
      <c r="D25" s="75"/>
      <c r="E25" s="75"/>
      <c r="F25" s="75"/>
    </row>
    <row r="26" spans="2:6" ht="30" customHeight="1" x14ac:dyDescent="0.2">
      <c r="B26" s="13" t="s">
        <v>129</v>
      </c>
      <c r="C26" s="13" t="s">
        <v>6</v>
      </c>
      <c r="D26" s="13" t="s">
        <v>130</v>
      </c>
      <c r="E26" s="13" t="s">
        <v>131</v>
      </c>
      <c r="F26" s="13" t="s">
        <v>116</v>
      </c>
    </row>
    <row r="27" spans="2:6" ht="21.75" customHeight="1" x14ac:dyDescent="0.2">
      <c r="B27" s="43" t="s">
        <v>132</v>
      </c>
      <c r="C27" s="46" t="s">
        <v>14</v>
      </c>
      <c r="D27" s="46">
        <v>3</v>
      </c>
      <c r="E27" s="46" t="s">
        <v>12</v>
      </c>
      <c r="F27" s="47" t="s">
        <v>133</v>
      </c>
    </row>
    <row r="28" spans="2:6" ht="21.75" customHeight="1" x14ac:dyDescent="0.2">
      <c r="B28" s="43" t="s">
        <v>134</v>
      </c>
      <c r="C28" s="46" t="s">
        <v>14</v>
      </c>
      <c r="D28" s="46">
        <v>2</v>
      </c>
      <c r="E28" s="46" t="s">
        <v>12</v>
      </c>
      <c r="F28" s="47" t="s">
        <v>135</v>
      </c>
    </row>
    <row r="29" spans="2:6" ht="21.75" customHeight="1" x14ac:dyDescent="0.2">
      <c r="B29" s="48" t="s">
        <v>136</v>
      </c>
      <c r="C29" s="17" t="s">
        <v>22</v>
      </c>
      <c r="D29" s="17">
        <v>1</v>
      </c>
      <c r="E29" s="17" t="s">
        <v>20</v>
      </c>
      <c r="F29" s="14" t="s">
        <v>135</v>
      </c>
    </row>
    <row r="30" spans="2:6" ht="19.5" customHeight="1" x14ac:dyDescent="0.2">
      <c r="B30" s="31"/>
      <c r="C30" s="31"/>
      <c r="D30" s="31"/>
      <c r="E30" s="31"/>
      <c r="F30" s="31"/>
    </row>
    <row r="31" spans="2:6" ht="19.5" customHeight="1" x14ac:dyDescent="0.2">
      <c r="B31" s="17"/>
      <c r="C31" s="17"/>
      <c r="D31" s="17"/>
      <c r="E31" s="17"/>
      <c r="F31" s="17"/>
    </row>
    <row r="32" spans="2:6" ht="19.5" customHeight="1" x14ac:dyDescent="0.2">
      <c r="B32" s="31"/>
      <c r="C32" s="31"/>
      <c r="D32" s="31"/>
      <c r="E32" s="31"/>
      <c r="F32" s="31"/>
    </row>
    <row r="34" spans="2:6" ht="12" customHeight="1" x14ac:dyDescent="0.2"/>
    <row r="35" spans="2:6" ht="25.5" customHeight="1" x14ac:dyDescent="0.2">
      <c r="B35" s="75" t="s">
        <v>137</v>
      </c>
      <c r="C35" s="75"/>
      <c r="D35" s="75"/>
      <c r="E35" s="75"/>
      <c r="F35" s="75"/>
    </row>
    <row r="36" spans="2:6" ht="30" customHeight="1" x14ac:dyDescent="0.2">
      <c r="B36" s="13" t="s">
        <v>138</v>
      </c>
      <c r="C36" s="13" t="s">
        <v>139</v>
      </c>
      <c r="D36" s="13" t="s">
        <v>140</v>
      </c>
      <c r="E36" s="13" t="s">
        <v>141</v>
      </c>
      <c r="F36" s="13" t="s">
        <v>142</v>
      </c>
    </row>
    <row r="37" spans="2:6" ht="19.5" customHeight="1" x14ac:dyDescent="0.2">
      <c r="B37" s="49" t="s">
        <v>143</v>
      </c>
      <c r="C37" s="50">
        <v>8700</v>
      </c>
      <c r="D37" s="50">
        <v>0</v>
      </c>
      <c r="E37" s="50">
        <v>1800</v>
      </c>
      <c r="F37" s="50">
        <v>6900</v>
      </c>
    </row>
    <row r="38" spans="2:6" ht="19.5" customHeight="1" x14ac:dyDescent="0.2">
      <c r="B38" s="51" t="s">
        <v>144</v>
      </c>
      <c r="C38" s="52">
        <v>30100</v>
      </c>
      <c r="D38" s="52">
        <v>6000</v>
      </c>
      <c r="E38" s="52">
        <v>1000</v>
      </c>
      <c r="F38" s="52">
        <v>29100</v>
      </c>
    </row>
    <row r="39" spans="2:6" ht="19.5" customHeight="1" x14ac:dyDescent="0.2">
      <c r="B39" s="49" t="s">
        <v>145</v>
      </c>
      <c r="C39" s="50">
        <v>24300</v>
      </c>
      <c r="D39" s="50">
        <v>3000</v>
      </c>
      <c r="E39" s="50">
        <v>2700</v>
      </c>
      <c r="F39" s="50">
        <v>21600</v>
      </c>
    </row>
    <row r="40" spans="2:6" ht="19.5" customHeight="1" x14ac:dyDescent="0.2">
      <c r="B40" s="77" t="s">
        <v>146</v>
      </c>
      <c r="C40" s="77"/>
      <c r="D40" s="77"/>
      <c r="E40" s="77"/>
      <c r="F40" s="77"/>
    </row>
  </sheetData>
  <mergeCells count="8">
    <mergeCell ref="B25:F25"/>
    <mergeCell ref="B35:F35"/>
    <mergeCell ref="B40:F40"/>
    <mergeCell ref="A1:G1"/>
    <mergeCell ref="A2:G2"/>
    <mergeCell ref="B4:F4"/>
    <mergeCell ref="B14:F14"/>
    <mergeCell ref="B17:F1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71"/>
  <sheetViews>
    <sheetView showGridLines="0" zoomScaleNormal="100" workbookViewId="0">
      <selection activeCell="K12" sqref="K12"/>
    </sheetView>
  </sheetViews>
  <sheetFormatPr baseColWidth="10" defaultColWidth="8.6640625" defaultRowHeight="15" x14ac:dyDescent="0.2"/>
  <cols>
    <col min="1" max="1" width="2" customWidth="1"/>
    <col min="2" max="2" width="10" customWidth="1"/>
    <col min="3" max="3" width="20" customWidth="1"/>
    <col min="4" max="5" width="24" customWidth="1"/>
    <col min="6" max="6" width="12" customWidth="1"/>
    <col min="7" max="11" width="10" customWidth="1"/>
    <col min="12" max="12" width="14" customWidth="1"/>
    <col min="13" max="13" width="2" customWidth="1"/>
  </cols>
  <sheetData>
    <row r="1" spans="1:13" ht="43.5" customHeight="1" x14ac:dyDescent="0.2">
      <c r="A1" s="12" t="s">
        <v>329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5.75" customHeight="1" x14ac:dyDescent="0.2">
      <c r="A2" s="11" t="s">
        <v>330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9.75" customHeight="1" x14ac:dyDescent="0.2"/>
    <row r="4" spans="1:13" ht="36" customHeight="1" x14ac:dyDescent="0.2">
      <c r="B4" s="84">
        <f>IFERROR(SUM(H11:H500),0)</f>
        <v>76382</v>
      </c>
      <c r="C4" s="84"/>
      <c r="D4" s="85">
        <f>IFERROR(SUM(I11:I500),0)</f>
        <v>9000</v>
      </c>
      <c r="E4" s="85"/>
      <c r="F4" s="86">
        <f>IFERROR(SUM(K11:K500),0)</f>
        <v>70850</v>
      </c>
      <c r="G4" s="86"/>
      <c r="H4" s="6">
        <f>IFERROR(COUNTA(C11:C500),0)</f>
        <v>18</v>
      </c>
      <c r="I4" s="6"/>
      <c r="J4" s="84">
        <f>IFERROR(SUMIF(E11:E500,"Membership",H11:H500),0)</f>
        <v>68000</v>
      </c>
      <c r="K4" s="84"/>
      <c r="L4" s="86">
        <f>IFERROR(SUMIF(E11:E500,"Supplement",H11:H500),0)</f>
        <v>8350</v>
      </c>
      <c r="M4" s="86"/>
    </row>
    <row r="5" spans="1:13" ht="18" customHeight="1" x14ac:dyDescent="0.2">
      <c r="B5" s="4" t="s">
        <v>331</v>
      </c>
      <c r="C5" s="4"/>
      <c r="D5" s="4" t="s">
        <v>332</v>
      </c>
      <c r="E5" s="4"/>
      <c r="F5" s="4" t="s">
        <v>333</v>
      </c>
      <c r="G5" s="4"/>
      <c r="H5" s="4" t="s">
        <v>334</v>
      </c>
      <c r="I5" s="4"/>
      <c r="J5" s="4" t="s">
        <v>335</v>
      </c>
      <c r="K5" s="4"/>
      <c r="L5" s="4" t="s">
        <v>336</v>
      </c>
      <c r="M5" s="4"/>
    </row>
    <row r="6" spans="1:13" ht="9.75" customHeight="1" x14ac:dyDescent="0.2"/>
    <row r="7" spans="1:13" ht="25.5" customHeight="1" x14ac:dyDescent="0.2">
      <c r="B7" s="75" t="s">
        <v>337</v>
      </c>
      <c r="C7" s="75"/>
      <c r="D7" s="75"/>
      <c r="E7" s="75"/>
      <c r="F7" s="75"/>
      <c r="G7" s="75"/>
      <c r="H7" s="75"/>
      <c r="I7" s="75"/>
      <c r="J7" s="75"/>
      <c r="K7" s="75"/>
      <c r="L7" s="75"/>
    </row>
    <row r="8" spans="1:13" ht="19.5" customHeight="1" x14ac:dyDescent="0.2">
      <c r="B8" s="87" t="s">
        <v>338</v>
      </c>
      <c r="C8" s="87"/>
      <c r="D8" s="87"/>
      <c r="E8" s="87"/>
      <c r="F8" s="87"/>
      <c r="G8" s="87"/>
      <c r="H8" s="87"/>
      <c r="I8" s="87"/>
      <c r="J8" s="87"/>
      <c r="K8" s="87"/>
      <c r="L8" s="87"/>
    </row>
    <row r="9" spans="1:13" ht="15.75" customHeight="1" x14ac:dyDescent="0.2">
      <c r="B9" s="88" t="s">
        <v>339</v>
      </c>
      <c r="C9" s="88"/>
      <c r="D9" s="88"/>
      <c r="E9" s="88"/>
      <c r="F9" s="88"/>
      <c r="G9" s="88"/>
      <c r="H9" s="88"/>
      <c r="I9" s="88"/>
      <c r="J9" s="88"/>
      <c r="K9" s="88"/>
      <c r="L9" s="88"/>
    </row>
    <row r="10" spans="1:13" ht="30" customHeight="1" x14ac:dyDescent="0.2">
      <c r="A10" s="13" t="s">
        <v>150</v>
      </c>
      <c r="B10" s="13" t="s">
        <v>221</v>
      </c>
      <c r="C10" s="13" t="s">
        <v>340</v>
      </c>
      <c r="D10" s="13" t="s">
        <v>245</v>
      </c>
      <c r="E10" s="13" t="s">
        <v>222</v>
      </c>
      <c r="F10" s="13" t="s">
        <v>252</v>
      </c>
      <c r="G10" s="13" t="s">
        <v>246</v>
      </c>
      <c r="H10" s="13" t="s">
        <v>139</v>
      </c>
      <c r="I10" s="13" t="s">
        <v>140</v>
      </c>
      <c r="J10" s="13" t="s">
        <v>141</v>
      </c>
      <c r="K10" s="13" t="s">
        <v>142</v>
      </c>
      <c r="L10" s="13" t="s">
        <v>247</v>
      </c>
    </row>
    <row r="11" spans="1:13" ht="19.5" customHeight="1" x14ac:dyDescent="0.2">
      <c r="A11" s="17" t="s">
        <v>73</v>
      </c>
      <c r="B11" s="64">
        <v>46037</v>
      </c>
      <c r="C11" s="17" t="s">
        <v>74</v>
      </c>
      <c r="D11" s="17" t="s">
        <v>21</v>
      </c>
      <c r="E11" s="17" t="s">
        <v>341</v>
      </c>
      <c r="F11" s="50"/>
      <c r="G11" s="50">
        <v>6000</v>
      </c>
      <c r="H11" s="50">
        <v>6000</v>
      </c>
      <c r="I11" s="50">
        <v>0</v>
      </c>
      <c r="J11" s="50"/>
      <c r="K11" s="70">
        <f t="shared" ref="K11:K54" si="0">IFERROR(H11-J11,"")</f>
        <v>6000</v>
      </c>
      <c r="L11" s="17" t="s">
        <v>17</v>
      </c>
    </row>
    <row r="12" spans="1:13" ht="19.5" customHeight="1" x14ac:dyDescent="0.2">
      <c r="A12" s="31" t="s">
        <v>73</v>
      </c>
      <c r="B12" s="65">
        <v>46037</v>
      </c>
      <c r="C12" s="31" t="s">
        <v>74</v>
      </c>
      <c r="D12" s="31" t="s">
        <v>342</v>
      </c>
      <c r="E12" s="31" t="s">
        <v>343</v>
      </c>
      <c r="F12" s="52">
        <v>2999</v>
      </c>
      <c r="G12" s="52">
        <v>2700</v>
      </c>
      <c r="H12" s="52">
        <v>2700</v>
      </c>
      <c r="I12" s="52">
        <v>0</v>
      </c>
      <c r="J12" s="52">
        <v>1800</v>
      </c>
      <c r="K12" s="70">
        <f t="shared" si="0"/>
        <v>900</v>
      </c>
      <c r="L12" s="31" t="s">
        <v>25</v>
      </c>
    </row>
    <row r="13" spans="1:13" ht="19.5" customHeight="1" x14ac:dyDescent="0.2">
      <c r="A13" s="17" t="s">
        <v>75</v>
      </c>
      <c r="B13" s="64">
        <v>46042</v>
      </c>
      <c r="C13" s="17" t="s">
        <v>76</v>
      </c>
      <c r="D13" s="17" t="s">
        <v>29</v>
      </c>
      <c r="E13" s="17" t="s">
        <v>341</v>
      </c>
      <c r="F13" s="50"/>
      <c r="G13" s="50">
        <v>12000</v>
      </c>
      <c r="H13" s="50">
        <v>12000</v>
      </c>
      <c r="I13" s="50">
        <v>0</v>
      </c>
      <c r="J13" s="50"/>
      <c r="K13" s="70">
        <f t="shared" si="0"/>
        <v>12000</v>
      </c>
      <c r="L13" s="17" t="s">
        <v>33</v>
      </c>
    </row>
    <row r="14" spans="1:13" ht="19.5" customHeight="1" x14ac:dyDescent="0.2">
      <c r="A14" s="31" t="s">
        <v>77</v>
      </c>
      <c r="B14" s="65">
        <v>46054</v>
      </c>
      <c r="C14" s="31" t="s">
        <v>78</v>
      </c>
      <c r="D14" s="31" t="s">
        <v>21</v>
      </c>
      <c r="E14" s="31" t="s">
        <v>341</v>
      </c>
      <c r="F14" s="52"/>
      <c r="G14" s="52">
        <v>6000</v>
      </c>
      <c r="H14" s="52">
        <v>4000</v>
      </c>
      <c r="I14" s="52">
        <v>2000</v>
      </c>
      <c r="J14" s="52"/>
      <c r="K14" s="70">
        <f t="shared" si="0"/>
        <v>4000</v>
      </c>
      <c r="L14" s="31" t="s">
        <v>25</v>
      </c>
    </row>
    <row r="15" spans="1:13" ht="19.5" customHeight="1" x14ac:dyDescent="0.2">
      <c r="A15" s="17" t="s">
        <v>77</v>
      </c>
      <c r="B15" s="64">
        <v>46054</v>
      </c>
      <c r="C15" s="17" t="s">
        <v>78</v>
      </c>
      <c r="D15" s="17" t="s">
        <v>344</v>
      </c>
      <c r="E15" s="17" t="s">
        <v>343</v>
      </c>
      <c r="F15" s="50">
        <v>1800</v>
      </c>
      <c r="G15" s="50">
        <v>1600</v>
      </c>
      <c r="H15" s="50">
        <v>1600</v>
      </c>
      <c r="I15" s="50">
        <v>0</v>
      </c>
      <c r="J15" s="50">
        <v>1000</v>
      </c>
      <c r="K15" s="70">
        <f t="shared" si="0"/>
        <v>600</v>
      </c>
      <c r="L15" s="17" t="s">
        <v>25</v>
      </c>
    </row>
    <row r="16" spans="1:13" ht="19.5" customHeight="1" x14ac:dyDescent="0.2">
      <c r="A16" s="31" t="s">
        <v>79</v>
      </c>
      <c r="B16" s="65">
        <v>46058</v>
      </c>
      <c r="C16" s="31" t="s">
        <v>80</v>
      </c>
      <c r="D16" s="31" t="s">
        <v>13</v>
      </c>
      <c r="E16" s="31" t="s">
        <v>341</v>
      </c>
      <c r="F16" s="52"/>
      <c r="G16" s="52">
        <v>2500</v>
      </c>
      <c r="H16" s="52">
        <v>2500</v>
      </c>
      <c r="I16" s="52">
        <v>0</v>
      </c>
      <c r="J16" s="52"/>
      <c r="K16" s="70">
        <f t="shared" si="0"/>
        <v>2500</v>
      </c>
      <c r="L16" s="31" t="s">
        <v>17</v>
      </c>
    </row>
    <row r="17" spans="1:12" ht="19.5" customHeight="1" x14ac:dyDescent="0.2">
      <c r="A17" s="17" t="s">
        <v>81</v>
      </c>
      <c r="B17" s="64">
        <v>46063</v>
      </c>
      <c r="C17" s="17" t="s">
        <v>82</v>
      </c>
      <c r="D17" s="17" t="s">
        <v>29</v>
      </c>
      <c r="E17" s="17" t="s">
        <v>341</v>
      </c>
      <c r="F17" s="50"/>
      <c r="G17" s="50">
        <v>12000</v>
      </c>
      <c r="H17" s="50">
        <v>8000</v>
      </c>
      <c r="I17" s="50">
        <v>4000</v>
      </c>
      <c r="J17" s="50"/>
      <c r="K17" s="70">
        <f t="shared" si="0"/>
        <v>8000</v>
      </c>
      <c r="L17" s="17" t="s">
        <v>33</v>
      </c>
    </row>
    <row r="18" spans="1:12" ht="19.5" customHeight="1" x14ac:dyDescent="0.2">
      <c r="A18" s="31" t="s">
        <v>83</v>
      </c>
      <c r="B18" s="65">
        <v>46068</v>
      </c>
      <c r="C18" s="31" t="s">
        <v>84</v>
      </c>
      <c r="D18" s="31" t="s">
        <v>21</v>
      </c>
      <c r="E18" s="31" t="s">
        <v>341</v>
      </c>
      <c r="F18" s="52"/>
      <c r="G18" s="52">
        <v>6000</v>
      </c>
      <c r="H18" s="52">
        <v>6000</v>
      </c>
      <c r="I18" s="52">
        <v>0</v>
      </c>
      <c r="J18" s="52"/>
      <c r="K18" s="70">
        <f t="shared" si="0"/>
        <v>6000</v>
      </c>
      <c r="L18" s="31" t="s">
        <v>25</v>
      </c>
    </row>
    <row r="19" spans="1:12" ht="19.5" customHeight="1" x14ac:dyDescent="0.2">
      <c r="A19" s="17" t="s">
        <v>85</v>
      </c>
      <c r="B19" s="64">
        <v>46073</v>
      </c>
      <c r="C19" s="17" t="s">
        <v>86</v>
      </c>
      <c r="D19" s="17" t="s">
        <v>29</v>
      </c>
      <c r="E19" s="17" t="s">
        <v>341</v>
      </c>
      <c r="F19" s="50"/>
      <c r="G19" s="50">
        <v>12000</v>
      </c>
      <c r="H19" s="50">
        <v>12000</v>
      </c>
      <c r="I19" s="50">
        <v>0</v>
      </c>
      <c r="J19" s="50"/>
      <c r="K19" s="70">
        <f t="shared" si="0"/>
        <v>12000</v>
      </c>
      <c r="L19" s="17" t="s">
        <v>33</v>
      </c>
    </row>
    <row r="20" spans="1:12" ht="19.5" customHeight="1" x14ac:dyDescent="0.2">
      <c r="A20" s="31" t="s">
        <v>87</v>
      </c>
      <c r="B20" s="65">
        <v>46082</v>
      </c>
      <c r="C20" s="31" t="s">
        <v>88</v>
      </c>
      <c r="D20" s="31" t="s">
        <v>13</v>
      </c>
      <c r="E20" s="31" t="s">
        <v>341</v>
      </c>
      <c r="F20" s="52"/>
      <c r="G20" s="52">
        <v>2500</v>
      </c>
      <c r="H20" s="52">
        <v>2500</v>
      </c>
      <c r="I20" s="52">
        <v>0</v>
      </c>
      <c r="J20" s="52"/>
      <c r="K20" s="70">
        <f t="shared" si="0"/>
        <v>2500</v>
      </c>
      <c r="L20" s="31" t="s">
        <v>17</v>
      </c>
    </row>
    <row r="21" spans="1:12" ht="19.5" customHeight="1" x14ac:dyDescent="0.2">
      <c r="A21" s="17" t="s">
        <v>89</v>
      </c>
      <c r="B21" s="64">
        <v>46086</v>
      </c>
      <c r="C21" s="17" t="s">
        <v>90</v>
      </c>
      <c r="D21" s="17" t="s">
        <v>21</v>
      </c>
      <c r="E21" s="17" t="s">
        <v>341</v>
      </c>
      <c r="F21" s="50"/>
      <c r="G21" s="50">
        <v>6000</v>
      </c>
      <c r="H21" s="50">
        <v>6000</v>
      </c>
      <c r="I21" s="50">
        <v>0</v>
      </c>
      <c r="J21" s="50"/>
      <c r="K21" s="70">
        <f t="shared" si="0"/>
        <v>6000</v>
      </c>
      <c r="L21" s="17" t="s">
        <v>33</v>
      </c>
    </row>
    <row r="22" spans="1:12" ht="19.5" customHeight="1" x14ac:dyDescent="0.2">
      <c r="A22" s="31" t="s">
        <v>91</v>
      </c>
      <c r="B22" s="65">
        <v>46091</v>
      </c>
      <c r="C22" s="31" t="s">
        <v>92</v>
      </c>
      <c r="D22" s="31" t="s">
        <v>29</v>
      </c>
      <c r="E22" s="31" t="s">
        <v>341</v>
      </c>
      <c r="F22" s="52"/>
      <c r="G22" s="52">
        <v>12000</v>
      </c>
      <c r="H22" s="52">
        <v>9000</v>
      </c>
      <c r="I22" s="52">
        <v>3000</v>
      </c>
      <c r="J22" s="52"/>
      <c r="K22" s="70">
        <f t="shared" si="0"/>
        <v>9000</v>
      </c>
      <c r="L22" s="31" t="s">
        <v>25</v>
      </c>
    </row>
    <row r="23" spans="1:12" ht="19.5" customHeight="1" x14ac:dyDescent="0.2">
      <c r="A23" s="17" t="s">
        <v>73</v>
      </c>
      <c r="B23" s="64">
        <v>46093</v>
      </c>
      <c r="C23" s="17" t="s">
        <v>74</v>
      </c>
      <c r="D23" s="17" t="s">
        <v>345</v>
      </c>
      <c r="E23" s="17" t="s">
        <v>343</v>
      </c>
      <c r="F23" s="50">
        <v>1499</v>
      </c>
      <c r="G23" s="50">
        <v>1350</v>
      </c>
      <c r="H23" s="50">
        <v>1350</v>
      </c>
      <c r="I23" s="50">
        <v>0</v>
      </c>
      <c r="J23" s="50">
        <v>900</v>
      </c>
      <c r="K23" s="70">
        <f t="shared" si="0"/>
        <v>450</v>
      </c>
      <c r="L23" s="17" t="s">
        <v>17</v>
      </c>
    </row>
    <row r="24" spans="1:12" ht="19.5" customHeight="1" x14ac:dyDescent="0.2">
      <c r="A24" s="31" t="s">
        <v>75</v>
      </c>
      <c r="B24" s="65">
        <v>46096</v>
      </c>
      <c r="C24" s="31" t="s">
        <v>76</v>
      </c>
      <c r="D24" s="31" t="s">
        <v>346</v>
      </c>
      <c r="E24" s="31" t="s">
        <v>343</v>
      </c>
      <c r="F24" s="52">
        <v>2999</v>
      </c>
      <c r="G24" s="52">
        <v>2700</v>
      </c>
      <c r="H24" s="52">
        <v>2700</v>
      </c>
      <c r="I24" s="52">
        <v>0</v>
      </c>
      <c r="J24" s="52">
        <v>1800</v>
      </c>
      <c r="K24" s="70">
        <f t="shared" si="0"/>
        <v>900</v>
      </c>
      <c r="L24" s="31" t="s">
        <v>25</v>
      </c>
    </row>
    <row r="25" spans="1:12" ht="19.5" customHeight="1" x14ac:dyDescent="0.2">
      <c r="A25" s="17"/>
      <c r="B25" s="17"/>
      <c r="C25" s="17"/>
      <c r="D25" s="17"/>
      <c r="E25" s="17"/>
      <c r="F25" s="50"/>
      <c r="G25" s="50"/>
      <c r="H25" s="50"/>
      <c r="I25" s="50"/>
      <c r="J25" s="50"/>
      <c r="K25" s="71">
        <f t="shared" si="0"/>
        <v>0</v>
      </c>
      <c r="L25" s="17"/>
    </row>
    <row r="26" spans="1:12" ht="19.5" customHeight="1" x14ac:dyDescent="0.2">
      <c r="A26" s="31"/>
      <c r="B26" s="31"/>
      <c r="C26" s="31"/>
      <c r="D26" s="31"/>
      <c r="E26" s="31"/>
      <c r="F26" s="52"/>
      <c r="G26" s="52"/>
      <c r="H26" s="52"/>
      <c r="I26" s="52"/>
      <c r="J26" s="52"/>
      <c r="K26" s="72">
        <f t="shared" si="0"/>
        <v>0</v>
      </c>
      <c r="L26" s="31"/>
    </row>
    <row r="27" spans="1:12" ht="19.5" customHeight="1" x14ac:dyDescent="0.2">
      <c r="A27" s="17"/>
      <c r="B27" s="17"/>
      <c r="C27" s="17"/>
      <c r="D27" s="17"/>
      <c r="E27" s="17"/>
      <c r="F27" s="50"/>
      <c r="G27" s="50"/>
      <c r="H27" s="50"/>
      <c r="I27" s="50"/>
      <c r="J27" s="50"/>
      <c r="K27" s="71">
        <f t="shared" si="0"/>
        <v>0</v>
      </c>
      <c r="L27" s="17"/>
    </row>
    <row r="28" spans="1:12" ht="19.5" customHeight="1" x14ac:dyDescent="0.2">
      <c r="A28" s="31"/>
      <c r="B28" s="31"/>
      <c r="C28" s="31"/>
      <c r="D28" s="31"/>
      <c r="E28" s="31"/>
      <c r="F28" s="52"/>
      <c r="G28" s="52"/>
      <c r="H28" s="52"/>
      <c r="I28" s="52"/>
      <c r="J28" s="52"/>
      <c r="K28" s="72">
        <f t="shared" si="0"/>
        <v>0</v>
      </c>
      <c r="L28" s="31"/>
    </row>
    <row r="29" spans="1:12" ht="19.5" customHeight="1" x14ac:dyDescent="0.2">
      <c r="A29" s="17"/>
      <c r="B29" s="17"/>
      <c r="C29" s="17"/>
      <c r="D29" s="17"/>
      <c r="E29" s="17"/>
      <c r="F29" s="50"/>
      <c r="G29" s="50"/>
      <c r="H29" s="50"/>
      <c r="I29" s="50"/>
      <c r="J29" s="50"/>
      <c r="K29" s="71">
        <f t="shared" si="0"/>
        <v>0</v>
      </c>
      <c r="L29" s="17"/>
    </row>
    <row r="30" spans="1:12" ht="19.5" customHeight="1" x14ac:dyDescent="0.2">
      <c r="A30" s="31"/>
      <c r="B30" s="31"/>
      <c r="C30" s="31"/>
      <c r="D30" s="31"/>
      <c r="E30" s="31"/>
      <c r="F30" s="52"/>
      <c r="G30" s="52"/>
      <c r="H30" s="52"/>
      <c r="I30" s="52"/>
      <c r="J30" s="52"/>
      <c r="K30" s="72">
        <f t="shared" si="0"/>
        <v>0</v>
      </c>
      <c r="L30" s="31"/>
    </row>
    <row r="31" spans="1:12" ht="19.5" customHeight="1" x14ac:dyDescent="0.2">
      <c r="A31" s="17"/>
      <c r="B31" s="17"/>
      <c r="C31" s="17"/>
      <c r="D31" s="17"/>
      <c r="E31" s="17"/>
      <c r="F31" s="50"/>
      <c r="G31" s="50"/>
      <c r="H31" s="50"/>
      <c r="I31" s="50"/>
      <c r="J31" s="50"/>
      <c r="K31" s="71">
        <f t="shared" si="0"/>
        <v>0</v>
      </c>
      <c r="L31" s="17"/>
    </row>
    <row r="32" spans="1:12" ht="19.5" customHeight="1" x14ac:dyDescent="0.2">
      <c r="A32" s="31"/>
      <c r="B32" s="31"/>
      <c r="C32" s="31"/>
      <c r="D32" s="31"/>
      <c r="E32" s="31"/>
      <c r="F32" s="52"/>
      <c r="G32" s="52"/>
      <c r="H32" s="52"/>
      <c r="I32" s="52"/>
      <c r="J32" s="52"/>
      <c r="K32" s="72">
        <f t="shared" si="0"/>
        <v>0</v>
      </c>
      <c r="L32" s="31"/>
    </row>
    <row r="33" spans="1:12" ht="19.5" customHeight="1" x14ac:dyDescent="0.2">
      <c r="A33" s="17"/>
      <c r="B33" s="17"/>
      <c r="C33" s="17"/>
      <c r="D33" s="17"/>
      <c r="E33" s="17"/>
      <c r="F33" s="50"/>
      <c r="G33" s="50"/>
      <c r="H33" s="50"/>
      <c r="I33" s="50"/>
      <c r="J33" s="50"/>
      <c r="K33" s="71">
        <f t="shared" si="0"/>
        <v>0</v>
      </c>
      <c r="L33" s="17"/>
    </row>
    <row r="34" spans="1:12" ht="19.5" customHeight="1" x14ac:dyDescent="0.2">
      <c r="A34" s="31"/>
      <c r="B34" s="31"/>
      <c r="C34" s="31"/>
      <c r="D34" s="31"/>
      <c r="E34" s="31"/>
      <c r="F34" s="52"/>
      <c r="G34" s="52"/>
      <c r="H34" s="52"/>
      <c r="I34" s="52"/>
      <c r="J34" s="52"/>
      <c r="K34" s="72">
        <f t="shared" si="0"/>
        <v>0</v>
      </c>
      <c r="L34" s="31"/>
    </row>
    <row r="35" spans="1:12" ht="19.5" customHeight="1" x14ac:dyDescent="0.2">
      <c r="A35" s="17"/>
      <c r="B35" s="17"/>
      <c r="C35" s="17"/>
      <c r="D35" s="17"/>
      <c r="E35" s="17"/>
      <c r="F35" s="50"/>
      <c r="G35" s="50"/>
      <c r="H35" s="50"/>
      <c r="I35" s="50"/>
      <c r="J35" s="50"/>
      <c r="K35" s="71">
        <f t="shared" si="0"/>
        <v>0</v>
      </c>
      <c r="L35" s="17"/>
    </row>
    <row r="36" spans="1:12" ht="19.5" customHeight="1" x14ac:dyDescent="0.2">
      <c r="A36" s="31"/>
      <c r="B36" s="31"/>
      <c r="C36" s="31"/>
      <c r="D36" s="31"/>
      <c r="E36" s="31"/>
      <c r="F36" s="52"/>
      <c r="G36" s="52"/>
      <c r="H36" s="52"/>
      <c r="I36" s="52"/>
      <c r="J36" s="52"/>
      <c r="K36" s="72">
        <f t="shared" si="0"/>
        <v>0</v>
      </c>
      <c r="L36" s="31"/>
    </row>
    <row r="37" spans="1:12" ht="19.5" customHeight="1" x14ac:dyDescent="0.2">
      <c r="A37" s="17"/>
      <c r="B37" s="17"/>
      <c r="C37" s="17"/>
      <c r="D37" s="17"/>
      <c r="E37" s="17"/>
      <c r="F37" s="50"/>
      <c r="G37" s="50"/>
      <c r="H37" s="50"/>
      <c r="I37" s="50"/>
      <c r="J37" s="50"/>
      <c r="K37" s="71">
        <f t="shared" si="0"/>
        <v>0</v>
      </c>
      <c r="L37" s="17"/>
    </row>
    <row r="38" spans="1:12" ht="19.5" customHeight="1" x14ac:dyDescent="0.2">
      <c r="A38" s="31"/>
      <c r="B38" s="31"/>
      <c r="C38" s="31"/>
      <c r="D38" s="31"/>
      <c r="E38" s="31"/>
      <c r="F38" s="52"/>
      <c r="G38" s="52"/>
      <c r="H38" s="52"/>
      <c r="I38" s="52"/>
      <c r="J38" s="52"/>
      <c r="K38" s="72">
        <f t="shared" si="0"/>
        <v>0</v>
      </c>
      <c r="L38" s="31"/>
    </row>
    <row r="39" spans="1:12" ht="19.5" customHeight="1" x14ac:dyDescent="0.2">
      <c r="A39" s="17"/>
      <c r="B39" s="17"/>
      <c r="C39" s="17"/>
      <c r="D39" s="17"/>
      <c r="E39" s="17"/>
      <c r="F39" s="50"/>
      <c r="G39" s="50"/>
      <c r="H39" s="50"/>
      <c r="I39" s="50"/>
      <c r="J39" s="50"/>
      <c r="K39" s="71">
        <f t="shared" si="0"/>
        <v>0</v>
      </c>
      <c r="L39" s="17"/>
    </row>
    <row r="40" spans="1:12" ht="19.5" customHeight="1" x14ac:dyDescent="0.2">
      <c r="A40" s="31"/>
      <c r="B40" s="31"/>
      <c r="C40" s="31"/>
      <c r="D40" s="31"/>
      <c r="E40" s="31"/>
      <c r="F40" s="52"/>
      <c r="G40" s="52"/>
      <c r="H40" s="52"/>
      <c r="I40" s="52"/>
      <c r="J40" s="52"/>
      <c r="K40" s="72">
        <f t="shared" si="0"/>
        <v>0</v>
      </c>
      <c r="L40" s="31"/>
    </row>
    <row r="41" spans="1:12" ht="19.5" customHeight="1" x14ac:dyDescent="0.2">
      <c r="A41" s="17"/>
      <c r="B41" s="17"/>
      <c r="C41" s="17"/>
      <c r="D41" s="17"/>
      <c r="E41" s="17"/>
      <c r="F41" s="50"/>
      <c r="G41" s="50"/>
      <c r="H41" s="50"/>
      <c r="I41" s="50"/>
      <c r="J41" s="50"/>
      <c r="K41" s="71">
        <f t="shared" si="0"/>
        <v>0</v>
      </c>
      <c r="L41" s="17"/>
    </row>
    <row r="42" spans="1:12" ht="19.5" customHeight="1" x14ac:dyDescent="0.2">
      <c r="A42" s="31"/>
      <c r="B42" s="31"/>
      <c r="C42" s="31"/>
      <c r="D42" s="31"/>
      <c r="E42" s="31"/>
      <c r="F42" s="52"/>
      <c r="G42" s="52"/>
      <c r="H42" s="52"/>
      <c r="I42" s="52"/>
      <c r="J42" s="52"/>
      <c r="K42" s="72">
        <f t="shared" si="0"/>
        <v>0</v>
      </c>
      <c r="L42" s="31"/>
    </row>
    <row r="43" spans="1:12" ht="19.5" customHeight="1" x14ac:dyDescent="0.2">
      <c r="A43" s="17"/>
      <c r="B43" s="17"/>
      <c r="C43" s="17"/>
      <c r="D43" s="17"/>
      <c r="E43" s="17"/>
      <c r="F43" s="50"/>
      <c r="G43" s="50"/>
      <c r="H43" s="50"/>
      <c r="I43" s="50"/>
      <c r="J43" s="50"/>
      <c r="K43" s="71">
        <f t="shared" si="0"/>
        <v>0</v>
      </c>
      <c r="L43" s="17"/>
    </row>
    <row r="44" spans="1:12" ht="19.5" customHeight="1" x14ac:dyDescent="0.2">
      <c r="A44" s="31"/>
      <c r="B44" s="31"/>
      <c r="C44" s="31"/>
      <c r="D44" s="31"/>
      <c r="E44" s="31"/>
      <c r="F44" s="52"/>
      <c r="G44" s="52"/>
      <c r="H44" s="52"/>
      <c r="I44" s="52"/>
      <c r="J44" s="52"/>
      <c r="K44" s="72">
        <f t="shared" si="0"/>
        <v>0</v>
      </c>
      <c r="L44" s="31"/>
    </row>
    <row r="45" spans="1:12" ht="19.5" customHeight="1" x14ac:dyDescent="0.2">
      <c r="A45" s="17"/>
      <c r="B45" s="17"/>
      <c r="C45" s="17"/>
      <c r="D45" s="17"/>
      <c r="E45" s="17"/>
      <c r="F45" s="50"/>
      <c r="G45" s="50"/>
      <c r="H45" s="50"/>
      <c r="I45" s="50"/>
      <c r="J45" s="50"/>
      <c r="K45" s="71">
        <f t="shared" si="0"/>
        <v>0</v>
      </c>
      <c r="L45" s="17"/>
    </row>
    <row r="46" spans="1:12" ht="19.5" customHeight="1" x14ac:dyDescent="0.2">
      <c r="A46" s="31"/>
      <c r="B46" s="31"/>
      <c r="C46" s="31"/>
      <c r="D46" s="31"/>
      <c r="E46" s="31"/>
      <c r="F46" s="52"/>
      <c r="G46" s="52"/>
      <c r="H46" s="52"/>
      <c r="I46" s="52"/>
      <c r="J46" s="52"/>
      <c r="K46" s="72">
        <f t="shared" si="0"/>
        <v>0</v>
      </c>
      <c r="L46" s="31"/>
    </row>
    <row r="47" spans="1:12" ht="19.5" customHeight="1" x14ac:dyDescent="0.2">
      <c r="A47" s="17"/>
      <c r="B47" s="17"/>
      <c r="C47" s="17"/>
      <c r="D47" s="17"/>
      <c r="E47" s="17"/>
      <c r="F47" s="50"/>
      <c r="G47" s="50"/>
      <c r="H47" s="50"/>
      <c r="I47" s="50"/>
      <c r="J47" s="50"/>
      <c r="K47" s="71">
        <f t="shared" si="0"/>
        <v>0</v>
      </c>
      <c r="L47" s="17"/>
    </row>
    <row r="48" spans="1:12" ht="19.5" customHeight="1" x14ac:dyDescent="0.2">
      <c r="A48" s="31"/>
      <c r="B48" s="31"/>
      <c r="C48" s="31"/>
      <c r="D48" s="31"/>
      <c r="E48" s="31"/>
      <c r="F48" s="52"/>
      <c r="G48" s="52"/>
      <c r="H48" s="52"/>
      <c r="I48" s="52"/>
      <c r="J48" s="52"/>
      <c r="K48" s="72">
        <f t="shared" si="0"/>
        <v>0</v>
      </c>
      <c r="L48" s="31"/>
    </row>
    <row r="49" spans="1:12" ht="19.5" customHeight="1" x14ac:dyDescent="0.2">
      <c r="A49" s="17"/>
      <c r="B49" s="17"/>
      <c r="C49" s="17"/>
      <c r="D49" s="17"/>
      <c r="E49" s="17"/>
      <c r="F49" s="50"/>
      <c r="G49" s="50"/>
      <c r="H49" s="50"/>
      <c r="I49" s="50"/>
      <c r="J49" s="50"/>
      <c r="K49" s="71">
        <f t="shared" si="0"/>
        <v>0</v>
      </c>
      <c r="L49" s="17"/>
    </row>
    <row r="50" spans="1:12" ht="19.5" customHeight="1" x14ac:dyDescent="0.2">
      <c r="A50" s="31"/>
      <c r="B50" s="31"/>
      <c r="C50" s="31"/>
      <c r="D50" s="31"/>
      <c r="E50" s="31"/>
      <c r="F50" s="52"/>
      <c r="G50" s="52"/>
      <c r="H50" s="52"/>
      <c r="I50" s="52"/>
      <c r="J50" s="52"/>
      <c r="K50" s="72">
        <f t="shared" si="0"/>
        <v>0</v>
      </c>
      <c r="L50" s="31"/>
    </row>
    <row r="51" spans="1:12" ht="19.5" customHeight="1" x14ac:dyDescent="0.2">
      <c r="A51" s="17"/>
      <c r="B51" s="17"/>
      <c r="C51" s="17"/>
      <c r="D51" s="17"/>
      <c r="E51" s="17"/>
      <c r="F51" s="50"/>
      <c r="G51" s="50"/>
      <c r="H51" s="50"/>
      <c r="I51" s="50"/>
      <c r="J51" s="50"/>
      <c r="K51" s="71">
        <f t="shared" si="0"/>
        <v>0</v>
      </c>
      <c r="L51" s="17"/>
    </row>
    <row r="52" spans="1:12" ht="19.5" customHeight="1" x14ac:dyDescent="0.2">
      <c r="A52" s="31"/>
      <c r="B52" s="31"/>
      <c r="C52" s="31"/>
      <c r="D52" s="31"/>
      <c r="E52" s="31"/>
      <c r="F52" s="52"/>
      <c r="G52" s="52"/>
      <c r="H52" s="52"/>
      <c r="I52" s="52"/>
      <c r="J52" s="52"/>
      <c r="K52" s="72">
        <f t="shared" si="0"/>
        <v>0</v>
      </c>
      <c r="L52" s="31"/>
    </row>
    <row r="53" spans="1:12" ht="19.5" customHeight="1" x14ac:dyDescent="0.2">
      <c r="A53" s="17"/>
      <c r="B53" s="17"/>
      <c r="C53" s="17"/>
      <c r="D53" s="17"/>
      <c r="E53" s="17"/>
      <c r="F53" s="50"/>
      <c r="G53" s="50"/>
      <c r="H53" s="50"/>
      <c r="I53" s="50"/>
      <c r="J53" s="50"/>
      <c r="K53" s="71">
        <f t="shared" si="0"/>
        <v>0</v>
      </c>
      <c r="L53" s="17"/>
    </row>
    <row r="54" spans="1:12" ht="19.5" customHeight="1" x14ac:dyDescent="0.2">
      <c r="A54" s="31"/>
      <c r="B54" s="31"/>
      <c r="C54" s="31"/>
      <c r="D54" s="31"/>
      <c r="E54" s="31"/>
      <c r="F54" s="52"/>
      <c r="G54" s="52"/>
      <c r="H54" s="52"/>
      <c r="I54" s="52"/>
      <c r="J54" s="52"/>
      <c r="K54" s="72">
        <f t="shared" si="0"/>
        <v>0</v>
      </c>
      <c r="L54" s="31"/>
    </row>
    <row r="56" spans="1:12" ht="9.75" customHeight="1" x14ac:dyDescent="0.2"/>
    <row r="57" spans="1:12" ht="25.5" customHeight="1" x14ac:dyDescent="0.2">
      <c r="B57" s="75" t="s">
        <v>347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</row>
    <row r="58" spans="1:12" ht="30" customHeight="1" x14ac:dyDescent="0.2">
      <c r="A58" s="13" t="s">
        <v>138</v>
      </c>
      <c r="B58" s="13" t="s">
        <v>139</v>
      </c>
      <c r="C58" s="13" t="s">
        <v>140</v>
      </c>
      <c r="D58" s="13" t="s">
        <v>141</v>
      </c>
      <c r="E58" s="13" t="s">
        <v>142</v>
      </c>
      <c r="F58" s="13" t="s">
        <v>348</v>
      </c>
      <c r="G58" s="13" t="s">
        <v>349</v>
      </c>
      <c r="H58" s="13" t="s">
        <v>350</v>
      </c>
    </row>
    <row r="59" spans="1:12" ht="19.5" customHeight="1" x14ac:dyDescent="0.2">
      <c r="A59" s="16" t="s">
        <v>143</v>
      </c>
      <c r="B59" s="50">
        <v>8700</v>
      </c>
      <c r="C59" s="17"/>
      <c r="D59" s="50">
        <v>1800</v>
      </c>
      <c r="E59" s="50">
        <v>6900</v>
      </c>
      <c r="F59" s="50">
        <v>6000</v>
      </c>
      <c r="G59" s="50">
        <v>2700</v>
      </c>
      <c r="H59" s="17">
        <v>3</v>
      </c>
    </row>
    <row r="60" spans="1:12" ht="19.5" customHeight="1" x14ac:dyDescent="0.2">
      <c r="A60" s="16" t="s">
        <v>144</v>
      </c>
      <c r="B60" s="52">
        <v>30100</v>
      </c>
      <c r="C60" s="52">
        <v>6000</v>
      </c>
      <c r="D60" s="52">
        <v>1000</v>
      </c>
      <c r="E60" s="52">
        <v>29100</v>
      </c>
      <c r="F60" s="52">
        <v>26500</v>
      </c>
      <c r="G60" s="52">
        <v>3600</v>
      </c>
      <c r="H60" s="31">
        <v>7</v>
      </c>
    </row>
    <row r="61" spans="1:12" ht="19.5" customHeight="1" x14ac:dyDescent="0.2">
      <c r="A61" s="16" t="s">
        <v>145</v>
      </c>
      <c r="B61" s="50">
        <v>24300</v>
      </c>
      <c r="C61" s="50">
        <v>3000</v>
      </c>
      <c r="D61" s="50">
        <v>2700</v>
      </c>
      <c r="E61" s="50">
        <v>21600</v>
      </c>
      <c r="F61" s="50">
        <v>21000</v>
      </c>
      <c r="G61" s="50">
        <v>3300</v>
      </c>
      <c r="H61" s="17">
        <v>6</v>
      </c>
    </row>
    <row r="62" spans="1:12" ht="19.5" customHeight="1" x14ac:dyDescent="0.2">
      <c r="A62" s="16" t="s">
        <v>351</v>
      </c>
      <c r="B62" s="31"/>
      <c r="C62" s="31"/>
      <c r="D62" s="31"/>
      <c r="E62" s="31"/>
      <c r="F62" s="31"/>
      <c r="G62" s="31"/>
      <c r="H62" s="31"/>
    </row>
    <row r="63" spans="1:12" ht="19.5" customHeight="1" x14ac:dyDescent="0.2">
      <c r="A63" s="16" t="s">
        <v>352</v>
      </c>
      <c r="B63" s="17"/>
      <c r="C63" s="17"/>
      <c r="D63" s="17"/>
      <c r="E63" s="17"/>
      <c r="F63" s="17"/>
      <c r="G63" s="17"/>
      <c r="H63" s="17"/>
    </row>
    <row r="64" spans="1:12" ht="19.5" customHeight="1" x14ac:dyDescent="0.2">
      <c r="A64" s="16" t="s">
        <v>353</v>
      </c>
      <c r="B64" s="31"/>
      <c r="C64" s="31"/>
      <c r="D64" s="31"/>
      <c r="E64" s="31"/>
      <c r="F64" s="31"/>
      <c r="G64" s="31"/>
      <c r="H64" s="31"/>
    </row>
    <row r="65" spans="1:8" ht="19.5" customHeight="1" x14ac:dyDescent="0.2">
      <c r="A65" s="16" t="s">
        <v>354</v>
      </c>
      <c r="B65" s="17"/>
      <c r="C65" s="17"/>
      <c r="D65" s="17"/>
      <c r="E65" s="17"/>
      <c r="F65" s="17"/>
      <c r="G65" s="17"/>
      <c r="H65" s="17"/>
    </row>
    <row r="66" spans="1:8" ht="19.5" customHeight="1" x14ac:dyDescent="0.2">
      <c r="A66" s="16" t="s">
        <v>355</v>
      </c>
      <c r="B66" s="31"/>
      <c r="C66" s="31"/>
      <c r="D66" s="31"/>
      <c r="E66" s="31"/>
      <c r="F66" s="31"/>
      <c r="G66" s="31"/>
      <c r="H66" s="31"/>
    </row>
    <row r="67" spans="1:8" ht="19.5" customHeight="1" x14ac:dyDescent="0.2">
      <c r="A67" s="16" t="s">
        <v>356</v>
      </c>
      <c r="B67" s="17"/>
      <c r="C67" s="17"/>
      <c r="D67" s="17"/>
      <c r="E67" s="17"/>
      <c r="F67" s="17"/>
      <c r="G67" s="17"/>
      <c r="H67" s="17"/>
    </row>
    <row r="68" spans="1:8" ht="19.5" customHeight="1" x14ac:dyDescent="0.2">
      <c r="A68" s="16" t="s">
        <v>357</v>
      </c>
      <c r="B68" s="31"/>
      <c r="C68" s="31"/>
      <c r="D68" s="31"/>
      <c r="E68" s="31"/>
      <c r="F68" s="31"/>
      <c r="G68" s="31"/>
      <c r="H68" s="31"/>
    </row>
    <row r="69" spans="1:8" ht="19.5" customHeight="1" x14ac:dyDescent="0.2">
      <c r="A69" s="16" t="s">
        <v>358</v>
      </c>
      <c r="B69" s="17"/>
      <c r="C69" s="17"/>
      <c r="D69" s="17"/>
      <c r="E69" s="17"/>
      <c r="F69" s="17"/>
      <c r="G69" s="17"/>
      <c r="H69" s="17"/>
    </row>
    <row r="70" spans="1:8" ht="19.5" customHeight="1" x14ac:dyDescent="0.2">
      <c r="A70" s="16" t="s">
        <v>359</v>
      </c>
      <c r="B70" s="31"/>
      <c r="C70" s="31"/>
      <c r="D70" s="31"/>
      <c r="E70" s="31"/>
      <c r="F70" s="31"/>
      <c r="G70" s="31"/>
      <c r="H70" s="31"/>
    </row>
    <row r="71" spans="1:8" ht="30" customHeight="1" x14ac:dyDescent="0.2">
      <c r="A71" s="73" t="s">
        <v>360</v>
      </c>
      <c r="B71" s="68">
        <f t="shared" ref="B71:H71" si="1">SUM(B59:B70)</f>
        <v>63100</v>
      </c>
      <c r="C71" s="68">
        <f t="shared" si="1"/>
        <v>9000</v>
      </c>
      <c r="D71" s="68">
        <f t="shared" si="1"/>
        <v>5500</v>
      </c>
      <c r="E71" s="68">
        <f t="shared" si="1"/>
        <v>57600</v>
      </c>
      <c r="F71" s="68">
        <f t="shared" si="1"/>
        <v>53500</v>
      </c>
      <c r="G71" s="68">
        <f t="shared" si="1"/>
        <v>9600</v>
      </c>
      <c r="H71" s="74">
        <f t="shared" si="1"/>
        <v>16</v>
      </c>
    </row>
  </sheetData>
  <mergeCells count="18">
    <mergeCell ref="L5:M5"/>
    <mergeCell ref="B7:L7"/>
    <mergeCell ref="B8:L8"/>
    <mergeCell ref="B9:L9"/>
    <mergeCell ref="B57:L57"/>
    <mergeCell ref="B5:C5"/>
    <mergeCell ref="D5:E5"/>
    <mergeCell ref="F5:G5"/>
    <mergeCell ref="H5:I5"/>
    <mergeCell ref="J5:K5"/>
    <mergeCell ref="A1:M1"/>
    <mergeCell ref="A2:M2"/>
    <mergeCell ref="B4:C4"/>
    <mergeCell ref="D4:E4"/>
    <mergeCell ref="F4:G4"/>
    <mergeCell ref="H4:I4"/>
    <mergeCell ref="J4:K4"/>
    <mergeCell ref="L4:M4"/>
  </mergeCells>
  <conditionalFormatting sqref="I11:I55">
    <cfRule type="cellIs" dxfId="0" priority="2" operator="greaterThan">
      <formula>0</formula>
    </cfRule>
  </conditionalFormatting>
  <dataValidations count="2">
    <dataValidation type="list" allowBlank="1" sqref="E11:E55" xr:uid="{00000000-0002-0000-0E00-000000000000}">
      <formula1>"Membership,Supplement"</formula1>
      <formula2>0</formula2>
    </dataValidation>
    <dataValidation type="list" allowBlank="1" sqref="L11:L55" xr:uid="{00000000-0002-0000-0E00-000001000000}">
      <formula1>Pay_Mode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9"/>
  <sheetViews>
    <sheetView showGridLines="0" zoomScaleNormal="100" workbookViewId="0">
      <selection activeCell="J6" sqref="J6"/>
    </sheetView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12.6640625" customWidth="1"/>
    <col min="10" max="10" width="16" customWidth="1"/>
  </cols>
  <sheetData>
    <row r="1" spans="1:10" ht="43.5" customHeight="1" x14ac:dyDescent="0.2">
      <c r="A1" s="12" t="s">
        <v>147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73</v>
      </c>
      <c r="C6" s="55">
        <v>46082</v>
      </c>
      <c r="D6" s="54" t="s">
        <v>18</v>
      </c>
      <c r="E6" s="54" t="s">
        <v>11</v>
      </c>
      <c r="F6" s="54" t="s">
        <v>21</v>
      </c>
      <c r="G6" s="55" t="str">
        <f ca="1">IFERROR(G6+VLOOKUP(F6,Plan_Duration_Lookup,2,0),"Check Plan Type")</f>
        <v>Check Plan Type</v>
      </c>
      <c r="H6" s="54">
        <v>14</v>
      </c>
      <c r="I6" s="54" t="s">
        <v>14</v>
      </c>
      <c r="J6" s="54" t="s">
        <v>12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74</v>
      </c>
      <c r="E10" s="16" t="s">
        <v>158</v>
      </c>
      <c r="F10" s="56">
        <v>34</v>
      </c>
    </row>
    <row r="11" spans="1:10" ht="19.5" customHeight="1" x14ac:dyDescent="0.2">
      <c r="B11" s="16" t="s">
        <v>150</v>
      </c>
      <c r="C11" s="56" t="s">
        <v>73</v>
      </c>
      <c r="E11" s="16" t="s">
        <v>159</v>
      </c>
      <c r="F11" s="56" t="s">
        <v>160</v>
      </c>
    </row>
    <row r="12" spans="1:10" ht="19.5" customHeight="1" x14ac:dyDescent="0.2">
      <c r="B12" s="16" t="s">
        <v>161</v>
      </c>
      <c r="C12" s="56" t="s">
        <v>162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107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170</v>
      </c>
      <c r="E17" s="16" t="s">
        <v>5</v>
      </c>
      <c r="F17" s="56" t="s">
        <v>21</v>
      </c>
    </row>
    <row r="18" spans="2:8" ht="19.5" customHeight="1" x14ac:dyDescent="0.2">
      <c r="B18" s="16" t="s">
        <v>171</v>
      </c>
      <c r="C18" s="57">
        <v>46037</v>
      </c>
      <c r="E18" s="16" t="s">
        <v>172</v>
      </c>
      <c r="F18" s="56" t="s">
        <v>173</v>
      </c>
    </row>
    <row r="19" spans="2:8" ht="19.5" customHeight="1" x14ac:dyDescent="0.2">
      <c r="B19" s="16" t="s">
        <v>152</v>
      </c>
      <c r="C19" s="58">
        <f>IFERROR(C18+VLOOKUP(F6,Plan_Duration_Lookup,2,0),"—")</f>
        <v>46127</v>
      </c>
      <c r="E19" s="16" t="s">
        <v>174</v>
      </c>
      <c r="F19" s="59">
        <f ca="1">IFERROR(C19-TODAY(),"—")</f>
        <v>-22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162</v>
      </c>
      <c r="E24" s="16" t="s">
        <v>181</v>
      </c>
      <c r="F24" s="56">
        <v>78</v>
      </c>
    </row>
    <row r="25" spans="2:8" ht="19.5" customHeight="1" x14ac:dyDescent="0.2">
      <c r="B25" s="16" t="s">
        <v>182</v>
      </c>
      <c r="C25" s="56">
        <v>74.2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28.3</v>
      </c>
      <c r="E26" s="16" t="s">
        <v>185</v>
      </c>
      <c r="F26" s="60" t="str">
        <f>IFERROR(IF(C26&lt;18.5,"⬇ Underweight",IF(C26&lt;25,"✅ Normal",IF(C26&lt;30,"⚠️ Overweight","🔴 Obese"))),"—")</f>
        <v>⚠️ Overweight</v>
      </c>
    </row>
    <row r="27" spans="2:8" ht="19.5" customHeight="1" x14ac:dyDescent="0.2">
      <c r="B27" s="16" t="s">
        <v>186</v>
      </c>
      <c r="C27" s="61">
        <f>IFERROR(C24-C25,"—")</f>
        <v>87.8</v>
      </c>
      <c r="E27" s="16" t="s">
        <v>187</v>
      </c>
      <c r="F27" s="61" t="str">
        <f>IFERROR(TEXT((C24-C25)/(C24-F25),"0%"),"—")</f>
        <v>54%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2</v>
      </c>
      <c r="E30" s="16" t="s">
        <v>154</v>
      </c>
      <c r="F30" s="56" t="s">
        <v>14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62" t="s">
        <v>84</v>
      </c>
      <c r="D32" s="17"/>
      <c r="E32" s="17"/>
      <c r="F32" s="17"/>
    </row>
    <row r="33" spans="2:8" ht="19.5" customHeight="1" x14ac:dyDescent="0.2">
      <c r="B33" s="31">
        <v>2</v>
      </c>
      <c r="C33" s="62" t="s">
        <v>88</v>
      </c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46096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46120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46037</v>
      </c>
      <c r="D45" s="31" t="s">
        <v>16</v>
      </c>
      <c r="E45" s="20" t="s">
        <v>31</v>
      </c>
      <c r="F45" s="31" t="s">
        <v>214</v>
      </c>
      <c r="G45" s="31" t="s">
        <v>215</v>
      </c>
      <c r="H45" s="15" t="s">
        <v>216</v>
      </c>
    </row>
    <row r="46" spans="2:8" ht="19.5" customHeight="1" x14ac:dyDescent="0.2">
      <c r="B46" s="14" t="s">
        <v>217</v>
      </c>
      <c r="C46" s="64">
        <v>46039</v>
      </c>
      <c r="D46" s="17" t="s">
        <v>16</v>
      </c>
      <c r="E46" s="20" t="s">
        <v>31</v>
      </c>
      <c r="F46" s="17" t="s">
        <v>214</v>
      </c>
      <c r="G46" s="17" t="s">
        <v>218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46082</v>
      </c>
      <c r="C63" s="14" t="s">
        <v>228</v>
      </c>
      <c r="D63" s="14" t="s">
        <v>229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46052</v>
      </c>
      <c r="C64" s="15" t="s">
        <v>234</v>
      </c>
      <c r="D64" s="15" t="s">
        <v>235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46037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244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11" priority="2" operator="lessThan">
      <formula>TODAY()</formula>
    </cfRule>
  </conditionalFormatting>
  <dataValidations count="7">
    <dataValidation type="list" allowBlank="1" sqref="D6" xr:uid="{00000000-0002-0000-0300-000000000000}">
      <formula1>Progress</formula1>
      <formula2>0</formula2>
    </dataValidation>
    <dataValidation type="list" allowBlank="1" sqref="E6" xr:uid="{00000000-0002-0000-0300-000001000000}">
      <formula1>Status</formula1>
      <formula2>0</formula2>
    </dataValidation>
    <dataValidation type="list" allowBlank="1" sqref="F6" xr:uid="{00000000-0002-0000-0300-000002000000}">
      <formula1>Plan_Type</formula1>
      <formula2>0</formula2>
    </dataValidation>
    <dataValidation type="list" allowBlank="1" sqref="I6" xr:uid="{00000000-0002-0000-0300-000003000000}">
      <formula1>Tier</formula1>
      <formula2>0</formula2>
    </dataValidation>
    <dataValidation type="list" allowBlank="1" sqref="J6" xr:uid="{00000000-0002-0000-0300-000004000000}">
      <formula1>Source</formula1>
      <formula2>0</formula2>
    </dataValidation>
    <dataValidation type="list" allowBlank="1" sqref="E40:E59" xr:uid="{00000000-0002-0000-0300-000005000000}">
      <formula1>Task_Status</formula1>
      <formula2>0</formula2>
    </dataValidation>
    <dataValidation type="list" allowBlank="1" sqref="D40:D59" xr:uid="{00000000-0002-0000-0300-000006000000}">
      <formula1>Priority</formula1>
      <formula2>0</formula2>
    </dataValidation>
  </dataValidations>
  <hyperlinks>
    <hyperlink ref="A2" r:id="rId1" location="'📋%20MASTER'!A1" xr:uid="{00000000-0004-0000-03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255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75</v>
      </c>
      <c r="C6" s="55">
        <v>46096</v>
      </c>
      <c r="D6" s="54" t="s">
        <v>10</v>
      </c>
      <c r="E6" s="54" t="s">
        <v>11</v>
      </c>
      <c r="F6" s="54" t="s">
        <v>29</v>
      </c>
      <c r="G6" s="55" t="str">
        <f ca="1">IFERROR(G6+VLOOKUP(F6,Plan_Duration_Lookup,2,0),"Check Plan Type")</f>
        <v>Check Plan Type</v>
      </c>
      <c r="H6" s="54">
        <v>21</v>
      </c>
      <c r="I6" s="54" t="s">
        <v>22</v>
      </c>
      <c r="J6" s="54" t="s">
        <v>20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76</v>
      </c>
      <c r="E10" s="16" t="s">
        <v>158</v>
      </c>
      <c r="F10" s="56">
        <v>28</v>
      </c>
    </row>
    <row r="11" spans="1:10" ht="19.5" customHeight="1" x14ac:dyDescent="0.2">
      <c r="B11" s="16" t="s">
        <v>150</v>
      </c>
      <c r="C11" s="56" t="s">
        <v>75</v>
      </c>
      <c r="E11" s="16" t="s">
        <v>159</v>
      </c>
      <c r="F11" s="56" t="s">
        <v>256</v>
      </c>
    </row>
    <row r="12" spans="1:10" ht="19.5" customHeight="1" x14ac:dyDescent="0.2">
      <c r="B12" s="16" t="s">
        <v>161</v>
      </c>
      <c r="C12" s="56" t="s">
        <v>257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107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258</v>
      </c>
      <c r="E17" s="16" t="s">
        <v>5</v>
      </c>
      <c r="F17" s="56" t="s">
        <v>29</v>
      </c>
    </row>
    <row r="18" spans="2:8" ht="19.5" customHeight="1" x14ac:dyDescent="0.2">
      <c r="B18" s="16" t="s">
        <v>171</v>
      </c>
      <c r="C18" s="57">
        <v>45992</v>
      </c>
      <c r="E18" s="16" t="s">
        <v>172</v>
      </c>
      <c r="F18" s="56" t="s">
        <v>259</v>
      </c>
    </row>
    <row r="19" spans="2:8" ht="19.5" customHeight="1" x14ac:dyDescent="0.2">
      <c r="B19" s="16" t="s">
        <v>152</v>
      </c>
      <c r="C19" s="58">
        <f>IFERROR(C18+VLOOKUP(F6,Plan_Duration_Lookup,2,0),"—")</f>
        <v>46172</v>
      </c>
      <c r="E19" s="16" t="s">
        <v>174</v>
      </c>
      <c r="F19" s="59">
        <f ca="1">IFERROR(C19-TODAY(),"—")</f>
        <v>23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175</v>
      </c>
      <c r="E24" s="16" t="s">
        <v>181</v>
      </c>
      <c r="F24" s="56">
        <v>65</v>
      </c>
    </row>
    <row r="25" spans="2:8" ht="19.5" customHeight="1" x14ac:dyDescent="0.2">
      <c r="B25" s="16" t="s">
        <v>182</v>
      </c>
      <c r="C25" s="56">
        <v>68.5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22.4</v>
      </c>
      <c r="E26" s="16" t="s">
        <v>185</v>
      </c>
      <c r="F26" s="60" t="str">
        <f>IFERROR(IF(C26&lt;18.5,"⬇ Underweight",IF(C26&lt;25,"✅ Normal",IF(C26&lt;30,"⚠️ Overweight","🔴 Obese"))),"—")</f>
        <v>✅ Normal</v>
      </c>
    </row>
    <row r="27" spans="2:8" ht="19.5" customHeight="1" x14ac:dyDescent="0.2">
      <c r="B27" s="16" t="s">
        <v>186</v>
      </c>
      <c r="C27" s="61">
        <f>IFERROR(C24-C25,"—")</f>
        <v>106.5</v>
      </c>
      <c r="E27" s="16" t="s">
        <v>187</v>
      </c>
      <c r="F27" s="61" t="str">
        <f>IFERROR(TEXT((C24-C25)/(C24-F25),"0%"),"—")</f>
        <v>61%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1</v>
      </c>
      <c r="E30" s="16" t="s">
        <v>154</v>
      </c>
      <c r="F30" s="56" t="s">
        <v>22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62" t="s">
        <v>90</v>
      </c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46117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46165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45992</v>
      </c>
      <c r="D45" s="31" t="s">
        <v>16</v>
      </c>
      <c r="E45" s="20" t="s">
        <v>31</v>
      </c>
      <c r="F45" s="31" t="s">
        <v>214</v>
      </c>
      <c r="G45" s="31" t="s">
        <v>260</v>
      </c>
      <c r="H45" s="15" t="s">
        <v>216</v>
      </c>
    </row>
    <row r="46" spans="2:8" ht="19.5" customHeight="1" x14ac:dyDescent="0.2">
      <c r="B46" s="14" t="s">
        <v>217</v>
      </c>
      <c r="C46" s="64">
        <v>45994</v>
      </c>
      <c r="D46" s="17" t="s">
        <v>16</v>
      </c>
      <c r="E46" s="20" t="s">
        <v>31</v>
      </c>
      <c r="F46" s="17" t="s">
        <v>214</v>
      </c>
      <c r="G46" s="17" t="s">
        <v>261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46096</v>
      </c>
      <c r="C63" s="14" t="s">
        <v>228</v>
      </c>
      <c r="D63" s="14" t="s">
        <v>262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46007</v>
      </c>
      <c r="C64" s="15" t="s">
        <v>234</v>
      </c>
      <c r="D64" s="15" t="s">
        <v>263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45992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264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10" priority="2" operator="lessThan">
      <formula>TODAY()</formula>
    </cfRule>
  </conditionalFormatting>
  <dataValidations count="7">
    <dataValidation type="list" allowBlank="1" sqref="D6" xr:uid="{00000000-0002-0000-0400-000000000000}">
      <formula1>Progress</formula1>
      <formula2>0</formula2>
    </dataValidation>
    <dataValidation type="list" allowBlank="1" sqref="E6" xr:uid="{00000000-0002-0000-0400-000001000000}">
      <formula1>Status</formula1>
      <formula2>0</formula2>
    </dataValidation>
    <dataValidation type="list" allowBlank="1" sqref="F6" xr:uid="{00000000-0002-0000-0400-000002000000}">
      <formula1>Plan_Type</formula1>
      <formula2>0</formula2>
    </dataValidation>
    <dataValidation type="list" allowBlank="1" sqref="I6" xr:uid="{00000000-0002-0000-0400-000003000000}">
      <formula1>Tier</formula1>
      <formula2>0</formula2>
    </dataValidation>
    <dataValidation type="list" allowBlank="1" sqref="J6" xr:uid="{00000000-0002-0000-0400-000004000000}">
      <formula1>Source</formula1>
      <formula2>0</formula2>
    </dataValidation>
    <dataValidation type="list" allowBlank="1" sqref="E40:E59" xr:uid="{00000000-0002-0000-0400-000005000000}">
      <formula1>Task_Status</formula1>
      <formula2>0</formula2>
    </dataValidation>
    <dataValidation type="list" allowBlank="1" sqref="D40:D59" xr:uid="{00000000-0002-0000-0400-000006000000}">
      <formula1>Priority</formula1>
      <formula2>0</formula2>
    </dataValidation>
  </dataValidations>
  <hyperlinks>
    <hyperlink ref="A2" r:id="rId1" location="'📋%20MASTER'!A1" xr:uid="{00000000-0004-0000-04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265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77</v>
      </c>
      <c r="C6" s="55">
        <v>46063</v>
      </c>
      <c r="D6" s="54" t="s">
        <v>34</v>
      </c>
      <c r="E6" s="54" t="s">
        <v>11</v>
      </c>
      <c r="F6" s="54" t="s">
        <v>21</v>
      </c>
      <c r="G6" s="55" t="str">
        <f ca="1">IFERROR(G6+VLOOKUP(F6,Plan_Duration_Lookup,2,0),"Check Plan Type")</f>
        <v>Check Plan Type</v>
      </c>
      <c r="H6" s="54">
        <v>7</v>
      </c>
      <c r="I6" s="54" t="s">
        <v>30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78</v>
      </c>
      <c r="E10" s="16" t="s">
        <v>158</v>
      </c>
      <c r="F10" s="56">
        <v>42</v>
      </c>
    </row>
    <row r="11" spans="1:10" ht="19.5" customHeight="1" x14ac:dyDescent="0.2">
      <c r="B11" s="16" t="s">
        <v>150</v>
      </c>
      <c r="C11" s="56" t="s">
        <v>77</v>
      </c>
      <c r="E11" s="16" t="s">
        <v>159</v>
      </c>
      <c r="F11" s="56" t="s">
        <v>266</v>
      </c>
    </row>
    <row r="12" spans="1:10" ht="19.5" customHeight="1" x14ac:dyDescent="0.2">
      <c r="B12" s="16" t="s">
        <v>161</v>
      </c>
      <c r="C12" s="56" t="s">
        <v>162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134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267</v>
      </c>
      <c r="E17" s="16" t="s">
        <v>5</v>
      </c>
      <c r="F17" s="56" t="s">
        <v>21</v>
      </c>
    </row>
    <row r="18" spans="2:8" ht="19.5" customHeight="1" x14ac:dyDescent="0.2">
      <c r="B18" s="16" t="s">
        <v>171</v>
      </c>
      <c r="C18" s="57">
        <v>46054</v>
      </c>
      <c r="E18" s="16" t="s">
        <v>172</v>
      </c>
      <c r="F18" s="56" t="s">
        <v>173</v>
      </c>
    </row>
    <row r="19" spans="2:8" ht="19.5" customHeight="1" x14ac:dyDescent="0.2">
      <c r="B19" s="16" t="s">
        <v>152</v>
      </c>
      <c r="C19" s="58">
        <f>IFERROR(C18+VLOOKUP(F6,Plan_Duration_Lookup,2,0),"—")</f>
        <v>46144</v>
      </c>
      <c r="E19" s="16" t="s">
        <v>174</v>
      </c>
      <c r="F19" s="59">
        <f ca="1">IFERROR(C19-TODAY(),"—")</f>
        <v>-5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158</v>
      </c>
      <c r="E24" s="16" t="s">
        <v>181</v>
      </c>
      <c r="F24" s="56">
        <v>85</v>
      </c>
    </row>
    <row r="25" spans="2:8" ht="19.5" customHeight="1" x14ac:dyDescent="0.2">
      <c r="B25" s="16" t="s">
        <v>182</v>
      </c>
      <c r="C25" s="56">
        <v>84.1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33.700000000000003</v>
      </c>
      <c r="E26" s="16" t="s">
        <v>185</v>
      </c>
      <c r="F26" s="60" t="str">
        <f>IFERROR(IF(C26&lt;18.5,"⬇ Underweight",IF(C26&lt;25,"✅ Normal",IF(C26&lt;30,"⚠️ Overweight","🔴 Obese"))),"—")</f>
        <v>🔴 Obese</v>
      </c>
    </row>
    <row r="27" spans="2:8" ht="19.5" customHeight="1" x14ac:dyDescent="0.2">
      <c r="B27" s="16" t="s">
        <v>186</v>
      </c>
      <c r="C27" s="61">
        <f>IFERROR(C24-C25,"—")</f>
        <v>73.900000000000006</v>
      </c>
      <c r="E27" s="16" t="s">
        <v>187</v>
      </c>
      <c r="F27" s="61" t="str">
        <f>IFERROR(TEXT((C24-C25)/(C24-F25),"0%"),"—")</f>
        <v>47%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30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46070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46137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46054</v>
      </c>
      <c r="D45" s="31" t="s">
        <v>16</v>
      </c>
      <c r="E45" s="20" t="s">
        <v>31</v>
      </c>
      <c r="F45" s="31" t="s">
        <v>214</v>
      </c>
      <c r="G45" s="31" t="s">
        <v>268</v>
      </c>
      <c r="H45" s="15" t="s">
        <v>216</v>
      </c>
    </row>
    <row r="46" spans="2:8" ht="19.5" customHeight="1" x14ac:dyDescent="0.2">
      <c r="B46" s="14" t="s">
        <v>217</v>
      </c>
      <c r="C46" s="64">
        <v>46056</v>
      </c>
      <c r="D46" s="17" t="s">
        <v>16</v>
      </c>
      <c r="E46" s="20" t="s">
        <v>31</v>
      </c>
      <c r="F46" s="17" t="s">
        <v>214</v>
      </c>
      <c r="G46" s="17" t="s">
        <v>269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46063</v>
      </c>
      <c r="C63" s="14" t="s">
        <v>228</v>
      </c>
      <c r="D63" s="14" t="s">
        <v>270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46069</v>
      </c>
      <c r="C64" s="15" t="s">
        <v>234</v>
      </c>
      <c r="D64" s="15" t="s">
        <v>271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46054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272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9" priority="2" operator="lessThan">
      <formula>TODAY()</formula>
    </cfRule>
  </conditionalFormatting>
  <dataValidations count="7">
    <dataValidation type="list" allowBlank="1" sqref="D6" xr:uid="{00000000-0002-0000-0500-000000000000}">
      <formula1>Progress</formula1>
      <formula2>0</formula2>
    </dataValidation>
    <dataValidation type="list" allowBlank="1" sqref="E6" xr:uid="{00000000-0002-0000-0500-000001000000}">
      <formula1>Status</formula1>
      <formula2>0</formula2>
    </dataValidation>
    <dataValidation type="list" allowBlank="1" sqref="F6" xr:uid="{00000000-0002-0000-0500-000002000000}">
      <formula1>Plan_Type</formula1>
      <formula2>0</formula2>
    </dataValidation>
    <dataValidation type="list" allowBlank="1" sqref="I6" xr:uid="{00000000-0002-0000-0500-000003000000}">
      <formula1>Tier</formula1>
      <formula2>0</formula2>
    </dataValidation>
    <dataValidation type="list" allowBlank="1" sqref="J6" xr:uid="{00000000-0002-0000-0500-000004000000}">
      <formula1>Source</formula1>
      <formula2>0</formula2>
    </dataValidation>
    <dataValidation type="list" allowBlank="1" sqref="E40:E59" xr:uid="{00000000-0002-0000-0500-000005000000}">
      <formula1>Task_Status</formula1>
      <formula2>0</formula2>
    </dataValidation>
    <dataValidation type="list" allowBlank="1" sqref="D40:D59" xr:uid="{00000000-0002-0000-0500-000006000000}">
      <formula1>Priority</formula1>
      <formula2>0</formula2>
    </dataValidation>
  </dataValidations>
  <hyperlinks>
    <hyperlink ref="A2" r:id="rId1" location="'📋%20MASTER'!A1" xr:uid="{00000000-0004-0000-05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273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79</v>
      </c>
      <c r="C6" s="55">
        <v>46073</v>
      </c>
      <c r="D6" s="54" t="s">
        <v>26</v>
      </c>
      <c r="E6" s="54" t="s">
        <v>19</v>
      </c>
      <c r="F6" s="54" t="s">
        <v>13</v>
      </c>
      <c r="G6" s="55" t="str">
        <f ca="1">IFERROR(G6+VLOOKUP(F6,Plan_Duration_Lookup,2,0),"Check Plan Type")</f>
        <v>Check Plan Type</v>
      </c>
      <c r="H6" s="54">
        <v>30</v>
      </c>
      <c r="I6" s="54" t="s">
        <v>37</v>
      </c>
      <c r="J6" s="54" t="s">
        <v>47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80</v>
      </c>
      <c r="E10" s="16" t="s">
        <v>158</v>
      </c>
      <c r="F10" s="56">
        <v>31</v>
      </c>
    </row>
    <row r="11" spans="1:10" ht="19.5" customHeight="1" x14ac:dyDescent="0.2">
      <c r="B11" s="16" t="s">
        <v>150</v>
      </c>
      <c r="C11" s="56" t="s">
        <v>79</v>
      </c>
      <c r="E11" s="16" t="s">
        <v>159</v>
      </c>
      <c r="F11" s="56" t="s">
        <v>274</v>
      </c>
    </row>
    <row r="12" spans="1:10" ht="19.5" customHeight="1" x14ac:dyDescent="0.2">
      <c r="B12" s="16" t="s">
        <v>161</v>
      </c>
      <c r="C12" s="56" t="s">
        <v>275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107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170</v>
      </c>
      <c r="E17" s="16" t="s">
        <v>5</v>
      </c>
      <c r="F17" s="56" t="s">
        <v>13</v>
      </c>
    </row>
    <row r="18" spans="2:8" ht="19.5" customHeight="1" x14ac:dyDescent="0.2">
      <c r="B18" s="16" t="s">
        <v>171</v>
      </c>
      <c r="C18" s="57">
        <v>46073</v>
      </c>
      <c r="E18" s="16" t="s">
        <v>172</v>
      </c>
      <c r="F18" s="56" t="s">
        <v>276</v>
      </c>
    </row>
    <row r="19" spans="2:8" ht="19.5" customHeight="1" x14ac:dyDescent="0.2">
      <c r="B19" s="16" t="s">
        <v>152</v>
      </c>
      <c r="C19" s="58">
        <f>IFERROR(C18+VLOOKUP(F6,Plan_Duration_Lookup,2,0),"—")</f>
        <v>46103</v>
      </c>
      <c r="E19" s="16" t="s">
        <v>174</v>
      </c>
      <c r="F19" s="59">
        <f ca="1">IFERROR(C19-TODAY(),"—")</f>
        <v>-46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170</v>
      </c>
      <c r="E24" s="16" t="s">
        <v>181</v>
      </c>
      <c r="F24" s="56">
        <v>90</v>
      </c>
    </row>
    <row r="25" spans="2:8" ht="19.5" customHeight="1" x14ac:dyDescent="0.2">
      <c r="B25" s="16" t="s">
        <v>182</v>
      </c>
      <c r="C25" s="56">
        <v>88.5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30.6</v>
      </c>
      <c r="E26" s="16" t="s">
        <v>185</v>
      </c>
      <c r="F26" s="60" t="str">
        <f>IFERROR(IF(C26&lt;18.5,"⬇ Underweight",IF(C26&lt;25,"✅ Normal",IF(C26&lt;30,"⚠️ Overweight","🔴 Obese"))),"—")</f>
        <v>🔴 Obese</v>
      </c>
    </row>
    <row r="27" spans="2:8" ht="19.5" customHeight="1" x14ac:dyDescent="0.2">
      <c r="B27" s="16" t="s">
        <v>186</v>
      </c>
      <c r="C27" s="61">
        <f>IFERROR(C24-C25,"—")</f>
        <v>81.5</v>
      </c>
      <c r="E27" s="16" t="s">
        <v>187</v>
      </c>
      <c r="F27" s="61" t="str">
        <f>IFERROR(TEXT((C24-C25)/(C24-F25),"0%"),"—")</f>
        <v>48%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37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46103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46096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46073</v>
      </c>
      <c r="D45" s="31" t="s">
        <v>16</v>
      </c>
      <c r="E45" s="20" t="s">
        <v>31</v>
      </c>
      <c r="F45" s="31" t="s">
        <v>214</v>
      </c>
      <c r="G45" s="31" t="s">
        <v>277</v>
      </c>
      <c r="H45" s="15" t="s">
        <v>216</v>
      </c>
    </row>
    <row r="46" spans="2:8" ht="19.5" customHeight="1" x14ac:dyDescent="0.2">
      <c r="B46" s="14" t="s">
        <v>217</v>
      </c>
      <c r="C46" s="64">
        <v>46075</v>
      </c>
      <c r="D46" s="17" t="s">
        <v>16</v>
      </c>
      <c r="E46" s="20" t="s">
        <v>31</v>
      </c>
      <c r="F46" s="17" t="s">
        <v>214</v>
      </c>
      <c r="G46" s="17" t="s">
        <v>278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46073</v>
      </c>
      <c r="C63" s="14" t="s">
        <v>228</v>
      </c>
      <c r="D63" s="14" t="s">
        <v>279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46088</v>
      </c>
      <c r="C64" s="15" t="s">
        <v>234</v>
      </c>
      <c r="D64" s="15" t="s">
        <v>280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46073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281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8" priority="2" operator="lessThan">
      <formula>TODAY()</formula>
    </cfRule>
  </conditionalFormatting>
  <dataValidations count="7">
    <dataValidation type="list" allowBlank="1" sqref="D6" xr:uid="{00000000-0002-0000-0600-000000000000}">
      <formula1>Progress</formula1>
      <formula2>0</formula2>
    </dataValidation>
    <dataValidation type="list" allowBlank="1" sqref="E6" xr:uid="{00000000-0002-0000-0600-000001000000}">
      <formula1>Status</formula1>
      <formula2>0</formula2>
    </dataValidation>
    <dataValidation type="list" allowBlank="1" sqref="F6" xr:uid="{00000000-0002-0000-0600-000002000000}">
      <formula1>Plan_Type</formula1>
      <formula2>0</formula2>
    </dataValidation>
    <dataValidation type="list" allowBlank="1" sqref="I6" xr:uid="{00000000-0002-0000-0600-000003000000}">
      <formula1>Tier</formula1>
      <formula2>0</formula2>
    </dataValidation>
    <dataValidation type="list" allowBlank="1" sqref="J6" xr:uid="{00000000-0002-0000-0600-000004000000}">
      <formula1>Source</formula1>
      <formula2>0</formula2>
    </dataValidation>
    <dataValidation type="list" allowBlank="1" sqref="E40:E59" xr:uid="{00000000-0002-0000-0600-000005000000}">
      <formula1>Task_Status</formula1>
      <formula2>0</formula2>
    </dataValidation>
    <dataValidation type="list" allowBlank="1" sqref="D40:D59" xr:uid="{00000000-0002-0000-0600-000006000000}">
      <formula1>Priority</formula1>
      <formula2>0</formula2>
    </dataValidation>
  </dataValidations>
  <hyperlinks>
    <hyperlink ref="A2" r:id="rId1" location="'📋%20MASTER'!A1" xr:uid="{00000000-0004-0000-06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282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81</v>
      </c>
      <c r="C6" s="55">
        <v>46052</v>
      </c>
      <c r="D6" s="54" t="s">
        <v>40</v>
      </c>
      <c r="E6" s="54" t="s">
        <v>11</v>
      </c>
      <c r="F6" s="54" t="s">
        <v>29</v>
      </c>
      <c r="G6" s="55" t="str">
        <f ca="1">IFERROR(G6+VLOOKUP(F6,Plan_Duration_Lookup,2,0),"Check Plan Type")</f>
        <v>Check Plan Type</v>
      </c>
      <c r="H6" s="54">
        <v>14</v>
      </c>
      <c r="I6" s="54" t="s">
        <v>14</v>
      </c>
      <c r="J6" s="54" t="s">
        <v>12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82</v>
      </c>
      <c r="E10" s="16" t="s">
        <v>158</v>
      </c>
      <c r="F10" s="56">
        <v>38</v>
      </c>
    </row>
    <row r="11" spans="1:10" ht="19.5" customHeight="1" x14ac:dyDescent="0.2">
      <c r="B11" s="16" t="s">
        <v>150</v>
      </c>
      <c r="C11" s="56" t="s">
        <v>81</v>
      </c>
      <c r="E11" s="16" t="s">
        <v>159</v>
      </c>
      <c r="F11" s="56" t="s">
        <v>283</v>
      </c>
    </row>
    <row r="12" spans="1:10" ht="19.5" customHeight="1" x14ac:dyDescent="0.2">
      <c r="B12" s="16" t="s">
        <v>161</v>
      </c>
      <c r="C12" s="56" t="s">
        <v>257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107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284</v>
      </c>
      <c r="E17" s="16" t="s">
        <v>5</v>
      </c>
      <c r="F17" s="56" t="s">
        <v>29</v>
      </c>
    </row>
    <row r="18" spans="2:8" ht="19.5" customHeight="1" x14ac:dyDescent="0.2">
      <c r="B18" s="16" t="s">
        <v>171</v>
      </c>
      <c r="C18" s="57">
        <v>46023</v>
      </c>
      <c r="E18" s="16" t="s">
        <v>172</v>
      </c>
      <c r="F18" s="56" t="s">
        <v>259</v>
      </c>
    </row>
    <row r="19" spans="2:8" ht="19.5" customHeight="1" x14ac:dyDescent="0.2">
      <c r="B19" s="16" t="s">
        <v>152</v>
      </c>
      <c r="C19" s="58">
        <f>IFERROR(C18+VLOOKUP(F6,Plan_Duration_Lookup,2,0),"—")</f>
        <v>46203</v>
      </c>
      <c r="E19" s="16" t="s">
        <v>174</v>
      </c>
      <c r="F19" s="59">
        <f ca="1">IFERROR(C19-TODAY(),"—")</f>
        <v>54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160</v>
      </c>
      <c r="E24" s="16" t="s">
        <v>181</v>
      </c>
      <c r="F24" s="56">
        <v>72</v>
      </c>
    </row>
    <row r="25" spans="2:8" ht="19.5" customHeight="1" x14ac:dyDescent="0.2">
      <c r="B25" s="16" t="s">
        <v>182</v>
      </c>
      <c r="C25" s="56">
        <v>73.2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28.6</v>
      </c>
      <c r="E26" s="16" t="s">
        <v>185</v>
      </c>
      <c r="F26" s="60" t="str">
        <f>IFERROR(IF(C26&lt;18.5,"⬇ Underweight",IF(C26&lt;25,"✅ Normal",IF(C26&lt;30,"⚠️ Overweight","🔴 Obese"))),"—")</f>
        <v>⚠️ Overweight</v>
      </c>
    </row>
    <row r="27" spans="2:8" ht="19.5" customHeight="1" x14ac:dyDescent="0.2">
      <c r="B27" s="16" t="s">
        <v>186</v>
      </c>
      <c r="C27" s="61">
        <f>IFERROR(C24-C25,"—")</f>
        <v>86.8</v>
      </c>
      <c r="E27" s="16" t="s">
        <v>187</v>
      </c>
      <c r="F27" s="61" t="str">
        <f>IFERROR(TEXT((C24-C25)/(C24-F25),"0%"),"—")</f>
        <v>54%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3</v>
      </c>
      <c r="E30" s="16" t="s">
        <v>154</v>
      </c>
      <c r="F30" s="56" t="s">
        <v>14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62" t="s">
        <v>92</v>
      </c>
      <c r="D32" s="17"/>
      <c r="E32" s="17"/>
      <c r="F32" s="17"/>
    </row>
    <row r="33" spans="2:8" ht="19.5" customHeight="1" x14ac:dyDescent="0.2">
      <c r="B33" s="31">
        <v>2</v>
      </c>
      <c r="C33" s="62" t="s">
        <v>86</v>
      </c>
      <c r="D33" s="31"/>
      <c r="E33" s="31"/>
      <c r="F33" s="31"/>
    </row>
    <row r="34" spans="2:8" ht="19.5" customHeight="1" x14ac:dyDescent="0.2">
      <c r="B34" s="17">
        <v>3</v>
      </c>
      <c r="C34" s="62" t="s">
        <v>80</v>
      </c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46066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46196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46023</v>
      </c>
      <c r="D45" s="31" t="s">
        <v>16</v>
      </c>
      <c r="E45" s="20" t="s">
        <v>31</v>
      </c>
      <c r="F45" s="31" t="s">
        <v>214</v>
      </c>
      <c r="G45" s="31" t="s">
        <v>285</v>
      </c>
      <c r="H45" s="15" t="s">
        <v>216</v>
      </c>
    </row>
    <row r="46" spans="2:8" ht="19.5" customHeight="1" x14ac:dyDescent="0.2">
      <c r="B46" s="14" t="s">
        <v>217</v>
      </c>
      <c r="C46" s="64">
        <v>46025</v>
      </c>
      <c r="D46" s="17" t="s">
        <v>16</v>
      </c>
      <c r="E46" s="20" t="s">
        <v>31</v>
      </c>
      <c r="F46" s="17" t="s">
        <v>214</v>
      </c>
      <c r="G46" s="17" t="s">
        <v>286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46052</v>
      </c>
      <c r="C63" s="14" t="s">
        <v>228</v>
      </c>
      <c r="D63" s="14" t="s">
        <v>287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46038</v>
      </c>
      <c r="C64" s="15" t="s">
        <v>234</v>
      </c>
      <c r="D64" s="15" t="s">
        <v>288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46023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289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7" priority="2" operator="lessThan">
      <formula>TODAY()</formula>
    </cfRule>
  </conditionalFormatting>
  <dataValidations count="7">
    <dataValidation type="list" allowBlank="1" sqref="D6" xr:uid="{00000000-0002-0000-0700-000000000000}">
      <formula1>Progress</formula1>
      <formula2>0</formula2>
    </dataValidation>
    <dataValidation type="list" allowBlank="1" sqref="E6" xr:uid="{00000000-0002-0000-0700-000001000000}">
      <formula1>Status</formula1>
      <formula2>0</formula2>
    </dataValidation>
    <dataValidation type="list" allowBlank="1" sqref="F6" xr:uid="{00000000-0002-0000-0700-000002000000}">
      <formula1>Plan_Type</formula1>
      <formula2>0</formula2>
    </dataValidation>
    <dataValidation type="list" allowBlank="1" sqref="I6" xr:uid="{00000000-0002-0000-0700-000003000000}">
      <formula1>Tier</formula1>
      <formula2>0</formula2>
    </dataValidation>
    <dataValidation type="list" allowBlank="1" sqref="J6" xr:uid="{00000000-0002-0000-0700-000004000000}">
      <formula1>Source</formula1>
      <formula2>0</formula2>
    </dataValidation>
    <dataValidation type="list" allowBlank="1" sqref="E40:E59" xr:uid="{00000000-0002-0000-0700-000005000000}">
      <formula1>Task_Status</formula1>
      <formula2>0</formula2>
    </dataValidation>
    <dataValidation type="list" allowBlank="1" sqref="D40:D59" xr:uid="{00000000-0002-0000-0700-000006000000}">
      <formula1>Priority</formula1>
      <formula2>0</formula2>
    </dataValidation>
  </dataValidations>
  <hyperlinks>
    <hyperlink ref="A2" r:id="rId1" location="'📋%20MASTER'!A1" xr:uid="{00000000-0004-0000-07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290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83</v>
      </c>
      <c r="C6" s="55">
        <v>46091</v>
      </c>
      <c r="D6" s="54" t="s">
        <v>18</v>
      </c>
      <c r="E6" s="54" t="s">
        <v>11</v>
      </c>
      <c r="F6" s="54" t="s">
        <v>21</v>
      </c>
      <c r="G6" s="55" t="str">
        <f ca="1">IFERROR(G6+VLOOKUP(F6,Plan_Duration_Lookup,2,0),"Check Plan Type")</f>
        <v>Check Plan Type</v>
      </c>
      <c r="H6" s="54">
        <v>21</v>
      </c>
      <c r="I6" s="54" t="s">
        <v>30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84</v>
      </c>
      <c r="E10" s="16" t="s">
        <v>158</v>
      </c>
      <c r="F10" s="56">
        <v>25</v>
      </c>
    </row>
    <row r="11" spans="1:10" ht="19.5" customHeight="1" x14ac:dyDescent="0.2">
      <c r="B11" s="16" t="s">
        <v>150</v>
      </c>
      <c r="C11" s="56" t="s">
        <v>83</v>
      </c>
      <c r="E11" s="16" t="s">
        <v>159</v>
      </c>
      <c r="F11" s="56" t="s">
        <v>291</v>
      </c>
    </row>
    <row r="12" spans="1:10" ht="19.5" customHeight="1" x14ac:dyDescent="0.2">
      <c r="B12" s="16" t="s">
        <v>161</v>
      </c>
      <c r="C12" s="56" t="s">
        <v>162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134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258</v>
      </c>
      <c r="E17" s="16" t="s">
        <v>5</v>
      </c>
      <c r="F17" s="56" t="s">
        <v>21</v>
      </c>
    </row>
    <row r="18" spans="2:8" ht="19.5" customHeight="1" x14ac:dyDescent="0.2">
      <c r="B18" s="16" t="s">
        <v>171</v>
      </c>
      <c r="C18" s="57">
        <v>46054</v>
      </c>
      <c r="E18" s="16" t="s">
        <v>172</v>
      </c>
      <c r="F18" s="56" t="s">
        <v>173</v>
      </c>
    </row>
    <row r="19" spans="2:8" ht="19.5" customHeight="1" x14ac:dyDescent="0.2">
      <c r="B19" s="16" t="s">
        <v>152</v>
      </c>
      <c r="C19" s="58">
        <f>IFERROR(C18+VLOOKUP(F6,Plan_Duration_Lookup,2,0),"—")</f>
        <v>46144</v>
      </c>
      <c r="E19" s="16" t="s">
        <v>174</v>
      </c>
      <c r="F19" s="59">
        <f ca="1">IFERROR(C19-TODAY(),"—")</f>
        <v>-5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172</v>
      </c>
      <c r="E24" s="16" t="s">
        <v>181</v>
      </c>
      <c r="F24" s="56">
        <v>60</v>
      </c>
    </row>
    <row r="25" spans="2:8" ht="19.5" customHeight="1" x14ac:dyDescent="0.2">
      <c r="B25" s="16" t="s">
        <v>182</v>
      </c>
      <c r="C25" s="56">
        <v>63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21.3</v>
      </c>
      <c r="E26" s="16" t="s">
        <v>185</v>
      </c>
      <c r="F26" s="60" t="str">
        <f>IFERROR(IF(C26&lt;18.5,"⬇ Underweight",IF(C26&lt;25,"✅ Normal",IF(C26&lt;30,"⚠️ Overweight","🔴 Obese"))),"—")</f>
        <v>✅ Normal</v>
      </c>
    </row>
    <row r="27" spans="2:8" ht="19.5" customHeight="1" x14ac:dyDescent="0.2">
      <c r="B27" s="16" t="s">
        <v>186</v>
      </c>
      <c r="C27" s="61">
        <f>IFERROR(C24-C25,"—")</f>
        <v>109</v>
      </c>
      <c r="E27" s="16" t="s">
        <v>187</v>
      </c>
      <c r="F27" s="61" t="str">
        <f>IFERROR(TEXT((C24-C25)/(C24-F25),"0%"),"—")</f>
        <v>63%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30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46112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46137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46054</v>
      </c>
      <c r="D45" s="31" t="s">
        <v>16</v>
      </c>
      <c r="E45" s="20" t="s">
        <v>31</v>
      </c>
      <c r="F45" s="31" t="s">
        <v>214</v>
      </c>
      <c r="G45" s="31" t="s">
        <v>268</v>
      </c>
      <c r="H45" s="15" t="s">
        <v>216</v>
      </c>
    </row>
    <row r="46" spans="2:8" ht="19.5" customHeight="1" x14ac:dyDescent="0.2">
      <c r="B46" s="14" t="s">
        <v>217</v>
      </c>
      <c r="C46" s="64">
        <v>46056</v>
      </c>
      <c r="D46" s="17" t="s">
        <v>16</v>
      </c>
      <c r="E46" s="20" t="s">
        <v>31</v>
      </c>
      <c r="F46" s="17" t="s">
        <v>214</v>
      </c>
      <c r="G46" s="17" t="s">
        <v>269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46091</v>
      </c>
      <c r="C63" s="14" t="s">
        <v>228</v>
      </c>
      <c r="D63" s="14" t="s">
        <v>292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46069</v>
      </c>
      <c r="C64" s="15" t="s">
        <v>234</v>
      </c>
      <c r="D64" s="15" t="s">
        <v>293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46054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294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6" priority="2" operator="lessThan">
      <formula>TODAY()</formula>
    </cfRule>
  </conditionalFormatting>
  <dataValidations count="7">
    <dataValidation type="list" allowBlank="1" sqref="D6" xr:uid="{00000000-0002-0000-0800-000000000000}">
      <formula1>Progress</formula1>
      <formula2>0</formula2>
    </dataValidation>
    <dataValidation type="list" allowBlank="1" sqref="E6" xr:uid="{00000000-0002-0000-0800-000001000000}">
      <formula1>Status</formula1>
      <formula2>0</formula2>
    </dataValidation>
    <dataValidation type="list" allowBlank="1" sqref="F6" xr:uid="{00000000-0002-0000-0800-000002000000}">
      <formula1>Plan_Type</formula1>
      <formula2>0</formula2>
    </dataValidation>
    <dataValidation type="list" allowBlank="1" sqref="I6" xr:uid="{00000000-0002-0000-0800-000003000000}">
      <formula1>Tier</formula1>
      <formula2>0</formula2>
    </dataValidation>
    <dataValidation type="list" allowBlank="1" sqref="J6" xr:uid="{00000000-0002-0000-0800-000004000000}">
      <formula1>Source</formula1>
      <formula2>0</formula2>
    </dataValidation>
    <dataValidation type="list" allowBlank="1" sqref="E40:E59" xr:uid="{00000000-0002-0000-0800-000005000000}">
      <formula1>Task_Status</formula1>
      <formula2>0</formula2>
    </dataValidation>
    <dataValidation type="list" allowBlank="1" sqref="D40:D59" xr:uid="{00000000-0002-0000-0800-000006000000}">
      <formula1>Priority</formula1>
      <formula2>0</formula2>
    </dataValidation>
  </dataValidations>
  <hyperlinks>
    <hyperlink ref="A2" r:id="rId1" location="'📋%20MASTER'!A1" xr:uid="{00000000-0004-0000-08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295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85</v>
      </c>
      <c r="C6" s="55">
        <v>46078</v>
      </c>
      <c r="D6" s="54" t="s">
        <v>34</v>
      </c>
      <c r="E6" s="54" t="s">
        <v>11</v>
      </c>
      <c r="F6" s="54" t="s">
        <v>29</v>
      </c>
      <c r="G6" s="55" t="str">
        <f ca="1">IFERROR(G6+VLOOKUP(F6,Plan_Duration_Lookup,2,0),"Check Plan Type")</f>
        <v>Check Plan Type</v>
      </c>
      <c r="H6" s="54">
        <v>7</v>
      </c>
      <c r="I6" s="54" t="s">
        <v>37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86</v>
      </c>
      <c r="E10" s="16" t="s">
        <v>158</v>
      </c>
      <c r="F10" s="56">
        <v>55</v>
      </c>
    </row>
    <row r="11" spans="1:10" ht="19.5" customHeight="1" x14ac:dyDescent="0.2">
      <c r="B11" s="16" t="s">
        <v>150</v>
      </c>
      <c r="C11" s="56" t="s">
        <v>85</v>
      </c>
      <c r="E11" s="16" t="s">
        <v>159</v>
      </c>
      <c r="F11" s="56" t="s">
        <v>296</v>
      </c>
    </row>
    <row r="12" spans="1:10" ht="19.5" customHeight="1" x14ac:dyDescent="0.2">
      <c r="B12" s="16" t="s">
        <v>161</v>
      </c>
      <c r="C12" s="56" t="s">
        <v>297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132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170</v>
      </c>
      <c r="E17" s="16" t="s">
        <v>5</v>
      </c>
      <c r="F17" s="56" t="s">
        <v>29</v>
      </c>
    </row>
    <row r="18" spans="2:8" ht="19.5" customHeight="1" x14ac:dyDescent="0.2">
      <c r="B18" s="16" t="s">
        <v>171</v>
      </c>
      <c r="C18" s="57">
        <v>46032</v>
      </c>
      <c r="E18" s="16" t="s">
        <v>172</v>
      </c>
      <c r="F18" s="56" t="s">
        <v>259</v>
      </c>
    </row>
    <row r="19" spans="2:8" ht="19.5" customHeight="1" x14ac:dyDescent="0.2">
      <c r="B19" s="16" t="s">
        <v>152</v>
      </c>
      <c r="C19" s="58">
        <f>IFERROR(C18+VLOOKUP(F6,Plan_Duration_Lookup,2,0),"—")</f>
        <v>46212</v>
      </c>
      <c r="E19" s="16" t="s">
        <v>174</v>
      </c>
      <c r="F19" s="59">
        <f ca="1">IFERROR(C19-TODAY(),"—")</f>
        <v>63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155</v>
      </c>
      <c r="E24" s="16" t="s">
        <v>181</v>
      </c>
      <c r="F24" s="56">
        <v>92</v>
      </c>
    </row>
    <row r="25" spans="2:8" ht="19.5" customHeight="1" x14ac:dyDescent="0.2">
      <c r="B25" s="16" t="s">
        <v>182</v>
      </c>
      <c r="C25" s="56">
        <v>89.5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37.299999999999997</v>
      </c>
      <c r="E26" s="16" t="s">
        <v>185</v>
      </c>
      <c r="F26" s="60" t="str">
        <f>IFERROR(IF(C26&lt;18.5,"⬇ Underweight",IF(C26&lt;25,"✅ Normal",IF(C26&lt;30,"⚠️ Overweight","🔴 Obese"))),"—")</f>
        <v>🔴 Obese</v>
      </c>
    </row>
    <row r="27" spans="2:8" ht="19.5" customHeight="1" x14ac:dyDescent="0.2">
      <c r="B27" s="16" t="s">
        <v>186</v>
      </c>
      <c r="C27" s="61">
        <f>IFERROR(C24-C25,"—")</f>
        <v>65.5</v>
      </c>
      <c r="E27" s="16" t="s">
        <v>187</v>
      </c>
      <c r="F27" s="61" t="str">
        <f>IFERROR(TEXT((C24-C25)/(C24-F25),"0%"),"—")</f>
        <v>42%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37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46085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46205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46032</v>
      </c>
      <c r="D45" s="31" t="s">
        <v>16</v>
      </c>
      <c r="E45" s="20" t="s">
        <v>31</v>
      </c>
      <c r="F45" s="31" t="s">
        <v>214</v>
      </c>
      <c r="G45" s="31" t="s">
        <v>298</v>
      </c>
      <c r="H45" s="15" t="s">
        <v>216</v>
      </c>
    </row>
    <row r="46" spans="2:8" ht="19.5" customHeight="1" x14ac:dyDescent="0.2">
      <c r="B46" s="14" t="s">
        <v>217</v>
      </c>
      <c r="C46" s="64">
        <v>46034</v>
      </c>
      <c r="D46" s="17" t="s">
        <v>16</v>
      </c>
      <c r="E46" s="20" t="s">
        <v>31</v>
      </c>
      <c r="F46" s="17" t="s">
        <v>214</v>
      </c>
      <c r="G46" s="17" t="s">
        <v>299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46078</v>
      </c>
      <c r="C63" s="14" t="s">
        <v>228</v>
      </c>
      <c r="D63" s="14" t="s">
        <v>300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46047</v>
      </c>
      <c r="C64" s="15" t="s">
        <v>234</v>
      </c>
      <c r="D64" s="15" t="s">
        <v>301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46032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302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5" priority="2" operator="lessThan">
      <formula>TODAY()</formula>
    </cfRule>
  </conditionalFormatting>
  <dataValidations count="7">
    <dataValidation type="list" allowBlank="1" sqref="D6" xr:uid="{00000000-0002-0000-0900-000000000000}">
      <formula1>Progress</formula1>
      <formula2>0</formula2>
    </dataValidation>
    <dataValidation type="list" allowBlank="1" sqref="E6" xr:uid="{00000000-0002-0000-0900-000001000000}">
      <formula1>Status</formula1>
      <formula2>0</formula2>
    </dataValidation>
    <dataValidation type="list" allowBlank="1" sqref="F6" xr:uid="{00000000-0002-0000-0900-000002000000}">
      <formula1>Plan_Type</formula1>
      <formula2>0</formula2>
    </dataValidation>
    <dataValidation type="list" allowBlank="1" sqref="I6" xr:uid="{00000000-0002-0000-0900-000003000000}">
      <formula1>Tier</formula1>
      <formula2>0</formula2>
    </dataValidation>
    <dataValidation type="list" allowBlank="1" sqref="J6" xr:uid="{00000000-0002-0000-0900-000004000000}">
      <formula1>Source</formula1>
      <formula2>0</formula2>
    </dataValidation>
    <dataValidation type="list" allowBlank="1" sqref="E40:E59" xr:uid="{00000000-0002-0000-0900-000005000000}">
      <formula1>Task_Status</formula1>
      <formula2>0</formula2>
    </dataValidation>
    <dataValidation type="list" allowBlank="1" sqref="D40:D59" xr:uid="{00000000-0002-0000-0900-000006000000}">
      <formula1>Priority</formula1>
      <formula2>0</formula2>
    </dataValidation>
  </dataValidations>
  <hyperlinks>
    <hyperlink ref="A2" r:id="rId1" location="'📋%20MASTER'!A1" xr:uid="{00000000-0004-0000-09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303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87</v>
      </c>
      <c r="C6" s="55">
        <v>46099</v>
      </c>
      <c r="D6" s="54" t="s">
        <v>18</v>
      </c>
      <c r="E6" s="54" t="s">
        <v>19</v>
      </c>
      <c r="F6" s="54" t="s">
        <v>13</v>
      </c>
      <c r="G6" s="55" t="str">
        <f ca="1">IFERROR(G6+VLOOKUP(F6,Plan_Duration_Lookup,2,0),"Check Plan Type")</f>
        <v>Check Plan Type</v>
      </c>
      <c r="H6" s="54">
        <v>30</v>
      </c>
      <c r="I6" s="54" t="s">
        <v>30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88</v>
      </c>
      <c r="E10" s="16" t="s">
        <v>158</v>
      </c>
      <c r="F10" s="56">
        <v>46</v>
      </c>
    </row>
    <row r="11" spans="1:10" ht="19.5" customHeight="1" x14ac:dyDescent="0.2">
      <c r="B11" s="16" t="s">
        <v>150</v>
      </c>
      <c r="C11" s="56" t="s">
        <v>87</v>
      </c>
      <c r="E11" s="16" t="s">
        <v>159</v>
      </c>
      <c r="F11" s="56" t="s">
        <v>304</v>
      </c>
    </row>
    <row r="12" spans="1:10" ht="19.5" customHeight="1" x14ac:dyDescent="0.2">
      <c r="B12" s="16" t="s">
        <v>161</v>
      </c>
      <c r="C12" s="56" t="s">
        <v>162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134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305</v>
      </c>
      <c r="E17" s="16" t="s">
        <v>5</v>
      </c>
      <c r="F17" s="56" t="s">
        <v>13</v>
      </c>
    </row>
    <row r="18" spans="2:8" ht="19.5" customHeight="1" x14ac:dyDescent="0.2">
      <c r="B18" s="16" t="s">
        <v>171</v>
      </c>
      <c r="C18" s="57">
        <v>46082</v>
      </c>
      <c r="E18" s="16" t="s">
        <v>172</v>
      </c>
      <c r="F18" s="56" t="s">
        <v>276</v>
      </c>
    </row>
    <row r="19" spans="2:8" ht="19.5" customHeight="1" x14ac:dyDescent="0.2">
      <c r="B19" s="16" t="s">
        <v>152</v>
      </c>
      <c r="C19" s="58">
        <f>IFERROR(C18+VLOOKUP(F6,Plan_Duration_Lookup,2,0),"—")</f>
        <v>46112</v>
      </c>
      <c r="E19" s="16" t="s">
        <v>174</v>
      </c>
      <c r="F19" s="59">
        <f ca="1">IFERROR(C19-TODAY(),"—")</f>
        <v>-37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168</v>
      </c>
      <c r="E24" s="16" t="s">
        <v>181</v>
      </c>
      <c r="F24" s="56">
        <v>80</v>
      </c>
    </row>
    <row r="25" spans="2:8" ht="19.5" customHeight="1" x14ac:dyDescent="0.2">
      <c r="B25" s="16" t="s">
        <v>182</v>
      </c>
      <c r="C25" s="56">
        <v>79.2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28.1</v>
      </c>
      <c r="E26" s="16" t="s">
        <v>185</v>
      </c>
      <c r="F26" s="60" t="str">
        <f>IFERROR(IF(C26&lt;18.5,"⬇ Underweight",IF(C26&lt;25,"✅ Normal",IF(C26&lt;30,"⚠️ Overweight","🔴 Obese"))),"—")</f>
        <v>⚠️ Overweight</v>
      </c>
    </row>
    <row r="27" spans="2:8" ht="19.5" customHeight="1" x14ac:dyDescent="0.2">
      <c r="B27" s="16" t="s">
        <v>186</v>
      </c>
      <c r="C27" s="61">
        <f>IFERROR(C24-C25,"—")</f>
        <v>88.8</v>
      </c>
      <c r="E27" s="16" t="s">
        <v>187</v>
      </c>
      <c r="F27" s="61" t="str">
        <f>IFERROR(TEXT((C24-C25)/(C24-F25),"0%"),"—")</f>
        <v>53%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30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46129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46105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46082</v>
      </c>
      <c r="D45" s="31" t="s">
        <v>16</v>
      </c>
      <c r="E45" s="20" t="s">
        <v>31</v>
      </c>
      <c r="F45" s="31" t="s">
        <v>214</v>
      </c>
      <c r="G45" s="31" t="s">
        <v>306</v>
      </c>
      <c r="H45" s="15" t="s">
        <v>216</v>
      </c>
    </row>
    <row r="46" spans="2:8" ht="19.5" customHeight="1" x14ac:dyDescent="0.2">
      <c r="B46" s="14" t="s">
        <v>217</v>
      </c>
      <c r="C46" s="64">
        <v>46084</v>
      </c>
      <c r="D46" s="17" t="s">
        <v>16</v>
      </c>
      <c r="E46" s="20" t="s">
        <v>31</v>
      </c>
      <c r="F46" s="17" t="s">
        <v>214</v>
      </c>
      <c r="G46" s="17" t="s">
        <v>307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46099</v>
      </c>
      <c r="C63" s="14" t="s">
        <v>228</v>
      </c>
      <c r="D63" s="14" t="s">
        <v>308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46097</v>
      </c>
      <c r="C64" s="15" t="s">
        <v>234</v>
      </c>
      <c r="D64" s="15" t="s">
        <v>308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46082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309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4" priority="2" operator="lessThan">
      <formula>TODAY()</formula>
    </cfRule>
  </conditionalFormatting>
  <dataValidations count="7">
    <dataValidation type="list" allowBlank="1" sqref="D6" xr:uid="{00000000-0002-0000-0A00-000000000000}">
      <formula1>Progress</formula1>
      <formula2>0</formula2>
    </dataValidation>
    <dataValidation type="list" allowBlank="1" sqref="E6" xr:uid="{00000000-0002-0000-0A00-000001000000}">
      <formula1>Status</formula1>
      <formula2>0</formula2>
    </dataValidation>
    <dataValidation type="list" allowBlank="1" sqref="F6" xr:uid="{00000000-0002-0000-0A00-000002000000}">
      <formula1>Plan_Type</formula1>
      <formula2>0</formula2>
    </dataValidation>
    <dataValidation type="list" allowBlank="1" sqref="I6" xr:uid="{00000000-0002-0000-0A00-000003000000}">
      <formula1>Tier</formula1>
      <formula2>0</formula2>
    </dataValidation>
    <dataValidation type="list" allowBlank="1" sqref="J6" xr:uid="{00000000-0002-0000-0A00-000004000000}">
      <formula1>Source</formula1>
      <formula2>0</formula2>
    </dataValidation>
    <dataValidation type="list" allowBlank="1" sqref="E40:E59" xr:uid="{00000000-0002-0000-0A00-000005000000}">
      <formula1>Task_Status</formula1>
      <formula2>0</formula2>
    </dataValidation>
    <dataValidation type="list" allowBlank="1" sqref="D40:D59" xr:uid="{00000000-0002-0000-0A00-000006000000}">
      <formula1>Priority</formula1>
      <formula2>0</formula2>
    </dataValidation>
  </dataValidations>
  <hyperlinks>
    <hyperlink ref="A2" r:id="rId1" location="'📋%20MASTER'!A1" xr:uid="{00000000-0004-0000-0A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310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89</v>
      </c>
      <c r="C6" s="55">
        <v>46101</v>
      </c>
      <c r="D6" s="54" t="s">
        <v>10</v>
      </c>
      <c r="E6" s="54" t="s">
        <v>11</v>
      </c>
      <c r="F6" s="54" t="s">
        <v>21</v>
      </c>
      <c r="G6" s="55" t="str">
        <f ca="1">IFERROR(G6+VLOOKUP(F6,Plan_Duration_Lookup,2,0),"Check Plan Type")</f>
        <v>Check Plan Type</v>
      </c>
      <c r="H6" s="54">
        <v>14</v>
      </c>
      <c r="I6" s="54" t="s">
        <v>22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90</v>
      </c>
      <c r="E10" s="16" t="s">
        <v>158</v>
      </c>
      <c r="F10" s="56">
        <v>29</v>
      </c>
    </row>
    <row r="11" spans="1:10" ht="19.5" customHeight="1" x14ac:dyDescent="0.2">
      <c r="B11" s="16" t="s">
        <v>150</v>
      </c>
      <c r="C11" s="56" t="s">
        <v>89</v>
      </c>
      <c r="E11" s="16" t="s">
        <v>159</v>
      </c>
      <c r="F11" s="56" t="s">
        <v>311</v>
      </c>
    </row>
    <row r="12" spans="1:10" ht="19.5" customHeight="1" x14ac:dyDescent="0.2">
      <c r="B12" s="16" t="s">
        <v>161</v>
      </c>
      <c r="C12" s="56" t="s">
        <v>312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136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170</v>
      </c>
      <c r="E17" s="16" t="s">
        <v>5</v>
      </c>
      <c r="F17" s="56" t="s">
        <v>21</v>
      </c>
    </row>
    <row r="18" spans="2:8" ht="19.5" customHeight="1" x14ac:dyDescent="0.2">
      <c r="B18" s="16" t="s">
        <v>171</v>
      </c>
      <c r="C18" s="57">
        <v>46068</v>
      </c>
      <c r="E18" s="16" t="s">
        <v>172</v>
      </c>
      <c r="F18" s="56" t="s">
        <v>173</v>
      </c>
    </row>
    <row r="19" spans="2:8" ht="19.5" customHeight="1" x14ac:dyDescent="0.2">
      <c r="B19" s="16" t="s">
        <v>152</v>
      </c>
      <c r="C19" s="58">
        <f>IFERROR(C18+VLOOKUP(F6,Plan_Duration_Lookup,2,0),"—")</f>
        <v>46158</v>
      </c>
      <c r="E19" s="16" t="s">
        <v>174</v>
      </c>
      <c r="F19" s="59">
        <f ca="1">IFERROR(C19-TODAY(),"—")</f>
        <v>9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163</v>
      </c>
      <c r="E24" s="16" t="s">
        <v>181</v>
      </c>
      <c r="F24" s="56">
        <v>68</v>
      </c>
    </row>
    <row r="25" spans="2:8" ht="19.5" customHeight="1" x14ac:dyDescent="0.2">
      <c r="B25" s="16" t="s">
        <v>182</v>
      </c>
      <c r="C25" s="56">
        <v>65.099999999999994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24.5</v>
      </c>
      <c r="E26" s="16" t="s">
        <v>185</v>
      </c>
      <c r="F26" s="60" t="str">
        <f>IFERROR(IF(C26&lt;18.5,"⬇ Underweight",IF(C26&lt;25,"✅ Normal",IF(C26&lt;30,"⚠️ Overweight","🔴 Obese"))),"—")</f>
        <v>✅ Normal</v>
      </c>
    </row>
    <row r="27" spans="2:8" ht="19.5" customHeight="1" x14ac:dyDescent="0.2">
      <c r="B27" s="16" t="s">
        <v>186</v>
      </c>
      <c r="C27" s="61">
        <f>IFERROR(C24-C25,"—")</f>
        <v>97.9</v>
      </c>
      <c r="E27" s="16" t="s">
        <v>187</v>
      </c>
      <c r="F27" s="61" t="str">
        <f>IFERROR(TEXT((C24-C25)/(C24-F25),"0%"),"—")</f>
        <v>60%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22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46115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46151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46068</v>
      </c>
      <c r="D45" s="31" t="s">
        <v>16</v>
      </c>
      <c r="E45" s="20" t="s">
        <v>31</v>
      </c>
      <c r="F45" s="31" t="s">
        <v>214</v>
      </c>
      <c r="G45" s="31" t="s">
        <v>313</v>
      </c>
      <c r="H45" s="15" t="s">
        <v>216</v>
      </c>
    </row>
    <row r="46" spans="2:8" ht="19.5" customHeight="1" x14ac:dyDescent="0.2">
      <c r="B46" s="14" t="s">
        <v>217</v>
      </c>
      <c r="C46" s="64">
        <v>46070</v>
      </c>
      <c r="D46" s="17" t="s">
        <v>16</v>
      </c>
      <c r="E46" s="20" t="s">
        <v>31</v>
      </c>
      <c r="F46" s="17" t="s">
        <v>214</v>
      </c>
      <c r="G46" s="17" t="s">
        <v>314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46101</v>
      </c>
      <c r="C63" s="14" t="s">
        <v>228</v>
      </c>
      <c r="D63" s="14" t="s">
        <v>315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46083</v>
      </c>
      <c r="C64" s="15" t="s">
        <v>234</v>
      </c>
      <c r="D64" s="15" t="s">
        <v>316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46068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317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3" priority="2" operator="lessThan">
      <formula>TODAY()</formula>
    </cfRule>
  </conditionalFormatting>
  <dataValidations count="7">
    <dataValidation type="list" allowBlank="1" sqref="D6" xr:uid="{00000000-0002-0000-0B00-000000000000}">
      <formula1>Progress</formula1>
      <formula2>0</formula2>
    </dataValidation>
    <dataValidation type="list" allowBlank="1" sqref="E6" xr:uid="{00000000-0002-0000-0B00-000001000000}">
      <formula1>Status</formula1>
      <formula2>0</formula2>
    </dataValidation>
    <dataValidation type="list" allowBlank="1" sqref="F6" xr:uid="{00000000-0002-0000-0B00-000002000000}">
      <formula1>Plan_Type</formula1>
      <formula2>0</formula2>
    </dataValidation>
    <dataValidation type="list" allowBlank="1" sqref="I6" xr:uid="{00000000-0002-0000-0B00-000003000000}">
      <formula1>Tier</formula1>
      <formula2>0</formula2>
    </dataValidation>
    <dataValidation type="list" allowBlank="1" sqref="J6" xr:uid="{00000000-0002-0000-0B00-000004000000}">
      <formula1>Source</formula1>
      <formula2>0</formula2>
    </dataValidation>
    <dataValidation type="list" allowBlank="1" sqref="E40:E59" xr:uid="{00000000-0002-0000-0B00-000005000000}">
      <formula1>Task_Status</formula1>
      <formula2>0</formula2>
    </dataValidation>
    <dataValidation type="list" allowBlank="1" sqref="D40:D59" xr:uid="{00000000-0002-0000-0B00-000006000000}">
      <formula1>Priority</formula1>
      <formula2>0</formula2>
    </dataValidation>
  </dataValidations>
  <hyperlinks>
    <hyperlink ref="A2" r:id="rId1" location="'📋%20MASTER'!A1" xr:uid="{00000000-0004-0000-0B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318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91</v>
      </c>
      <c r="C6" s="55">
        <v>46086</v>
      </c>
      <c r="D6" s="54" t="s">
        <v>26</v>
      </c>
      <c r="E6" s="54" t="s">
        <v>11</v>
      </c>
      <c r="F6" s="54" t="s">
        <v>29</v>
      </c>
      <c r="G6" s="55" t="str">
        <f ca="1">IFERROR(G6+VLOOKUP(F6,Plan_Duration_Lookup,2,0),"Check Plan Type")</f>
        <v>Check Plan Type</v>
      </c>
      <c r="H6" s="54">
        <v>21</v>
      </c>
      <c r="I6" s="54" t="s">
        <v>37</v>
      </c>
      <c r="J6" s="54" t="s">
        <v>35</v>
      </c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92</v>
      </c>
      <c r="E10" s="16" t="s">
        <v>158</v>
      </c>
      <c r="F10" s="56">
        <v>33</v>
      </c>
    </row>
    <row r="11" spans="1:10" ht="19.5" customHeight="1" x14ac:dyDescent="0.2">
      <c r="B11" s="16" t="s">
        <v>150</v>
      </c>
      <c r="C11" s="56" t="s">
        <v>91</v>
      </c>
      <c r="E11" s="16" t="s">
        <v>159</v>
      </c>
      <c r="F11" s="56" t="s">
        <v>319</v>
      </c>
    </row>
    <row r="12" spans="1:10" ht="19.5" customHeight="1" x14ac:dyDescent="0.2">
      <c r="B12" s="16" t="s">
        <v>161</v>
      </c>
      <c r="C12" s="56" t="s">
        <v>162</v>
      </c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132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 t="s">
        <v>258</v>
      </c>
      <c r="E17" s="16" t="s">
        <v>5</v>
      </c>
      <c r="F17" s="56" t="s">
        <v>29</v>
      </c>
    </row>
    <row r="18" spans="2:8" ht="19.5" customHeight="1" x14ac:dyDescent="0.2">
      <c r="B18" s="16" t="s">
        <v>171</v>
      </c>
      <c r="C18" s="57">
        <v>46023</v>
      </c>
      <c r="E18" s="16" t="s">
        <v>172</v>
      </c>
      <c r="F18" s="56" t="s">
        <v>259</v>
      </c>
    </row>
    <row r="19" spans="2:8" ht="19.5" customHeight="1" x14ac:dyDescent="0.2">
      <c r="B19" s="16" t="s">
        <v>152</v>
      </c>
      <c r="C19" s="58">
        <f>IFERROR(C18+VLOOKUP(F6,Plan_Duration_Lookup,2,0),"—")</f>
        <v>46203</v>
      </c>
      <c r="E19" s="16" t="s">
        <v>174</v>
      </c>
      <c r="F19" s="59">
        <f ca="1">IFERROR(C19-TODAY(),"—")</f>
        <v>54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174</v>
      </c>
      <c r="E24" s="16" t="s">
        <v>181</v>
      </c>
      <c r="F24" s="56">
        <v>70</v>
      </c>
    </row>
    <row r="25" spans="2:8" ht="19.5" customHeight="1" x14ac:dyDescent="0.2">
      <c r="B25" s="16" t="s">
        <v>182</v>
      </c>
      <c r="C25" s="56">
        <v>72.8</v>
      </c>
      <c r="E25" s="16" t="s">
        <v>183</v>
      </c>
      <c r="F25" s="56"/>
    </row>
    <row r="26" spans="2:8" ht="21.75" customHeight="1" x14ac:dyDescent="0.2">
      <c r="B26" s="16" t="s">
        <v>184</v>
      </c>
      <c r="C26" s="60">
        <f>IFERROR(ROUND(C25/((C24/100)^2),1),"—")</f>
        <v>24</v>
      </c>
      <c r="E26" s="16" t="s">
        <v>185</v>
      </c>
      <c r="F26" s="60" t="str">
        <f>IFERROR(IF(C26&lt;18.5,"⬇ Underweight",IF(C26&lt;25,"✅ Normal",IF(C26&lt;30,"⚠️ Overweight","🔴 Obese"))),"—")</f>
        <v>✅ Normal</v>
      </c>
    </row>
    <row r="27" spans="2:8" ht="19.5" customHeight="1" x14ac:dyDescent="0.2">
      <c r="B27" s="16" t="s">
        <v>186</v>
      </c>
      <c r="C27" s="61">
        <f>IFERROR(C24-C25,"—")</f>
        <v>101.2</v>
      </c>
      <c r="E27" s="16" t="s">
        <v>187</v>
      </c>
      <c r="F27" s="61" t="str">
        <f>IFERROR(TEXT((C24-C25)/(C24-F25),"0%"),"—")</f>
        <v>58%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37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46107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46196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46023</v>
      </c>
      <c r="D45" s="31" t="s">
        <v>16</v>
      </c>
      <c r="E45" s="20" t="s">
        <v>31</v>
      </c>
      <c r="F45" s="31" t="s">
        <v>214</v>
      </c>
      <c r="G45" s="31" t="s">
        <v>285</v>
      </c>
      <c r="H45" s="15" t="s">
        <v>216</v>
      </c>
    </row>
    <row r="46" spans="2:8" ht="19.5" customHeight="1" x14ac:dyDescent="0.2">
      <c r="B46" s="14" t="s">
        <v>217</v>
      </c>
      <c r="C46" s="64">
        <v>46025</v>
      </c>
      <c r="D46" s="17" t="s">
        <v>16</v>
      </c>
      <c r="E46" s="20" t="s">
        <v>31</v>
      </c>
      <c r="F46" s="17" t="s">
        <v>214</v>
      </c>
      <c r="G46" s="17" t="s">
        <v>286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46086</v>
      </c>
      <c r="C63" s="14" t="s">
        <v>228</v>
      </c>
      <c r="D63" s="14" t="s">
        <v>320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46038</v>
      </c>
      <c r="C64" s="15" t="s">
        <v>234</v>
      </c>
      <c r="D64" s="15" t="s">
        <v>321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46023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322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2" priority="2" operator="lessThan">
      <formula>TODAY()</formula>
    </cfRule>
  </conditionalFormatting>
  <dataValidations count="7">
    <dataValidation type="list" allowBlank="1" sqref="D6" xr:uid="{00000000-0002-0000-0C00-000000000000}">
      <formula1>Progress</formula1>
      <formula2>0</formula2>
    </dataValidation>
    <dataValidation type="list" allowBlank="1" sqref="E6" xr:uid="{00000000-0002-0000-0C00-000001000000}">
      <formula1>Status</formula1>
      <formula2>0</formula2>
    </dataValidation>
    <dataValidation type="list" allowBlank="1" sqref="F6" xr:uid="{00000000-0002-0000-0C00-000002000000}">
      <formula1>Plan_Type</formula1>
      <formula2>0</formula2>
    </dataValidation>
    <dataValidation type="list" allowBlank="1" sqref="I6" xr:uid="{00000000-0002-0000-0C00-000003000000}">
      <formula1>Tier</formula1>
      <formula2>0</formula2>
    </dataValidation>
    <dataValidation type="list" allowBlank="1" sqref="J6" xr:uid="{00000000-0002-0000-0C00-000004000000}">
      <formula1>Source</formula1>
      <formula2>0</formula2>
    </dataValidation>
    <dataValidation type="list" allowBlank="1" sqref="E40:E59" xr:uid="{00000000-0002-0000-0C00-000005000000}">
      <formula1>Task_Status</formula1>
      <formula2>0</formula2>
    </dataValidation>
    <dataValidation type="list" allowBlank="1" sqref="D40:D59" xr:uid="{00000000-0002-0000-0C00-000006000000}">
      <formula1>Priority</formula1>
      <formula2>0</formula2>
    </dataValidation>
  </dataValidations>
  <hyperlinks>
    <hyperlink ref="A2" r:id="rId1" location="'📋%20MASTER'!A1" xr:uid="{00000000-0004-0000-0C00-000000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9"/>
  <sheetViews>
    <sheetView showGridLines="0" zoomScaleNormal="100" workbookViewId="0"/>
  </sheetViews>
  <sheetFormatPr baseColWidth="10" defaultColWidth="8.6640625" defaultRowHeight="15" x14ac:dyDescent="0.2"/>
  <cols>
    <col min="1" max="1" width="2" customWidth="1"/>
    <col min="2" max="2" width="18" customWidth="1"/>
    <col min="3" max="3" width="24" customWidth="1"/>
    <col min="4" max="4" width="18" customWidth="1"/>
    <col min="5" max="5" width="24" customWidth="1"/>
    <col min="6" max="6" width="18" customWidth="1"/>
    <col min="7" max="7" width="24" customWidth="1"/>
    <col min="8" max="8" width="18" customWidth="1"/>
    <col min="9" max="9" width="2" customWidth="1"/>
    <col min="10" max="10" width="16" customWidth="1"/>
  </cols>
  <sheetData>
    <row r="1" spans="1:10" ht="43.5" customHeight="1" x14ac:dyDescent="0.2">
      <c r="A1" s="12" t="s">
        <v>323</v>
      </c>
      <c r="B1" s="12"/>
      <c r="C1" s="12"/>
      <c r="D1" s="12"/>
      <c r="E1" s="12"/>
      <c r="F1" s="12"/>
      <c r="G1" s="12"/>
      <c r="H1" s="12"/>
      <c r="I1" s="12"/>
    </row>
    <row r="2" spans="1:10" ht="15.75" customHeight="1" x14ac:dyDescent="0.2">
      <c r="A2" s="78" t="s">
        <v>148</v>
      </c>
      <c r="B2" s="78"/>
      <c r="C2" s="78"/>
      <c r="D2" s="78"/>
      <c r="E2" s="78"/>
      <c r="F2" s="78"/>
      <c r="G2" s="78"/>
      <c r="H2" s="78"/>
      <c r="I2" s="78"/>
    </row>
    <row r="3" spans="1:10" ht="7.5" customHeight="1" x14ac:dyDescent="0.2"/>
    <row r="4" spans="1:10" ht="25.5" customHeight="1" x14ac:dyDescent="0.2">
      <c r="B4" s="75" t="s">
        <v>149</v>
      </c>
      <c r="C4" s="75"/>
      <c r="D4" s="75"/>
      <c r="E4" s="75"/>
      <c r="F4" s="75"/>
      <c r="G4" s="75"/>
      <c r="H4" s="75"/>
    </row>
    <row r="5" spans="1:10" ht="21.75" customHeight="1" x14ac:dyDescent="0.2">
      <c r="B5" s="53" t="s">
        <v>150</v>
      </c>
      <c r="C5" s="53" t="s">
        <v>151</v>
      </c>
      <c r="D5" s="53" t="s">
        <v>2</v>
      </c>
      <c r="E5" s="53" t="s">
        <v>3</v>
      </c>
      <c r="F5" s="53" t="s">
        <v>5</v>
      </c>
      <c r="G5" s="53" t="s">
        <v>152</v>
      </c>
      <c r="H5" s="53" t="s">
        <v>153</v>
      </c>
      <c r="I5" s="53" t="s">
        <v>154</v>
      </c>
      <c r="J5" s="53" t="s">
        <v>4</v>
      </c>
    </row>
    <row r="6" spans="1:10" ht="25.5" customHeight="1" x14ac:dyDescent="0.2">
      <c r="B6" s="54" t="s">
        <v>324</v>
      </c>
      <c r="C6" s="55">
        <v>46023</v>
      </c>
      <c r="D6" s="54" t="s">
        <v>26</v>
      </c>
      <c r="E6" s="54" t="s">
        <v>11</v>
      </c>
      <c r="F6" s="54" t="s">
        <v>21</v>
      </c>
      <c r="G6" s="55" t="str">
        <f ca="1">IFERROR(G6+VLOOKUP(F6,Plan_Duration_Lookup,2,0),"Check Plan Type")</f>
        <v>Check Plan Type</v>
      </c>
      <c r="H6" s="54">
        <v>14</v>
      </c>
      <c r="I6" s="54" t="s">
        <v>30</v>
      </c>
      <c r="J6" s="54"/>
    </row>
    <row r="7" spans="1:10" ht="15.75" customHeight="1" x14ac:dyDescent="0.2">
      <c r="B7" s="79" t="s">
        <v>155</v>
      </c>
      <c r="C7" s="79"/>
      <c r="D7" s="79"/>
      <c r="E7" s="79"/>
      <c r="F7" s="79"/>
      <c r="G7" s="79"/>
      <c r="H7" s="79"/>
      <c r="I7" s="79"/>
      <c r="J7" s="79"/>
    </row>
    <row r="8" spans="1:10" ht="7.5" customHeight="1" x14ac:dyDescent="0.2"/>
    <row r="9" spans="1:10" ht="25.5" customHeight="1" x14ac:dyDescent="0.2">
      <c r="B9" s="75" t="s">
        <v>156</v>
      </c>
      <c r="C9" s="75"/>
      <c r="D9" s="75"/>
      <c r="E9" s="75"/>
      <c r="F9" s="75"/>
      <c r="G9" s="75"/>
      <c r="H9" s="75"/>
    </row>
    <row r="10" spans="1:10" ht="19.5" customHeight="1" x14ac:dyDescent="0.2">
      <c r="B10" s="16" t="s">
        <v>157</v>
      </c>
      <c r="C10" s="56" t="s">
        <v>325</v>
      </c>
      <c r="E10" s="16" t="s">
        <v>158</v>
      </c>
      <c r="F10" s="56"/>
    </row>
    <row r="11" spans="1:10" ht="19.5" customHeight="1" x14ac:dyDescent="0.2">
      <c r="B11" s="16" t="s">
        <v>150</v>
      </c>
      <c r="C11" s="56" t="s">
        <v>324</v>
      </c>
      <c r="E11" s="16" t="s">
        <v>159</v>
      </c>
      <c r="F11" s="56"/>
    </row>
    <row r="12" spans="1:10" ht="19.5" customHeight="1" x14ac:dyDescent="0.2">
      <c r="B12" s="16" t="s">
        <v>161</v>
      </c>
      <c r="C12" s="56"/>
      <c r="E12" s="16" t="s">
        <v>163</v>
      </c>
      <c r="F12" s="56"/>
    </row>
    <row r="13" spans="1:10" ht="19.5" customHeight="1" x14ac:dyDescent="0.2">
      <c r="B13" s="16" t="s">
        <v>164</v>
      </c>
      <c r="C13" s="56"/>
      <c r="E13" s="16" t="s">
        <v>165</v>
      </c>
      <c r="F13" s="56"/>
    </row>
    <row r="14" spans="1:10" ht="19.5" customHeight="1" x14ac:dyDescent="0.2">
      <c r="B14" s="16" t="s">
        <v>166</v>
      </c>
      <c r="C14" s="56" t="s">
        <v>107</v>
      </c>
      <c r="E14" s="16" t="s">
        <v>167</v>
      </c>
      <c r="F14" s="56"/>
    </row>
    <row r="15" spans="1:10" ht="7.5" customHeight="1" x14ac:dyDescent="0.2"/>
    <row r="16" spans="1:10" ht="25.5" customHeight="1" x14ac:dyDescent="0.2">
      <c r="B16" s="75" t="s">
        <v>168</v>
      </c>
      <c r="C16" s="75"/>
      <c r="D16" s="75"/>
      <c r="E16" s="75"/>
      <c r="F16" s="75"/>
      <c r="G16" s="75"/>
      <c r="H16" s="75"/>
    </row>
    <row r="17" spans="2:8" ht="19.5" customHeight="1" x14ac:dyDescent="0.2">
      <c r="B17" s="16" t="s">
        <v>169</v>
      </c>
      <c r="C17" s="56"/>
      <c r="E17" s="16" t="s">
        <v>5</v>
      </c>
      <c r="F17" s="56" t="s">
        <v>21</v>
      </c>
    </row>
    <row r="18" spans="2:8" ht="19.5" customHeight="1" x14ac:dyDescent="0.2">
      <c r="B18" s="16" t="s">
        <v>171</v>
      </c>
      <c r="C18" s="57">
        <v>46023</v>
      </c>
      <c r="E18" s="16" t="s">
        <v>172</v>
      </c>
      <c r="F18" s="56" t="s">
        <v>173</v>
      </c>
    </row>
    <row r="19" spans="2:8" ht="19.5" customHeight="1" x14ac:dyDescent="0.2">
      <c r="B19" s="16" t="s">
        <v>152</v>
      </c>
      <c r="C19" s="58">
        <f>IFERROR(C18+VLOOKUP(F6,Plan_Duration_Lookup,2,0),"—")</f>
        <v>46113</v>
      </c>
      <c r="E19" s="16" t="s">
        <v>174</v>
      </c>
      <c r="F19" s="59">
        <f ca="1">IFERROR(C19-TODAY(),"—")</f>
        <v>-36</v>
      </c>
    </row>
    <row r="20" spans="2:8" ht="19.5" customHeight="1" x14ac:dyDescent="0.2">
      <c r="B20" s="16" t="s">
        <v>175</v>
      </c>
      <c r="C20" s="56"/>
      <c r="E20" s="16" t="s">
        <v>176</v>
      </c>
      <c r="F20" s="56"/>
    </row>
    <row r="21" spans="2:8" ht="19.5" customHeight="1" x14ac:dyDescent="0.2">
      <c r="B21" s="16" t="s">
        <v>177</v>
      </c>
      <c r="C21" s="56"/>
      <c r="E21" s="16" t="s">
        <v>178</v>
      </c>
      <c r="F21" s="56"/>
    </row>
    <row r="22" spans="2:8" ht="7.5" customHeight="1" x14ac:dyDescent="0.2"/>
    <row r="23" spans="2:8" ht="25.5" customHeight="1" x14ac:dyDescent="0.2">
      <c r="B23" s="75" t="s">
        <v>179</v>
      </c>
      <c r="C23" s="75"/>
      <c r="D23" s="75"/>
      <c r="E23" s="75"/>
      <c r="F23" s="75"/>
      <c r="G23" s="75"/>
      <c r="H23" s="75"/>
    </row>
    <row r="24" spans="2:8" ht="19.5" customHeight="1" x14ac:dyDescent="0.2">
      <c r="B24" s="16" t="s">
        <v>180</v>
      </c>
      <c r="C24" s="56">
        <v>0</v>
      </c>
      <c r="E24" s="16" t="s">
        <v>181</v>
      </c>
      <c r="F24" s="56">
        <v>0</v>
      </c>
    </row>
    <row r="25" spans="2:8" ht="19.5" customHeight="1" x14ac:dyDescent="0.2">
      <c r="B25" s="16" t="s">
        <v>182</v>
      </c>
      <c r="C25" s="56">
        <v>0</v>
      </c>
      <c r="E25" s="16" t="s">
        <v>183</v>
      </c>
      <c r="F25" s="56"/>
    </row>
    <row r="26" spans="2:8" ht="21.75" customHeight="1" x14ac:dyDescent="0.2">
      <c r="B26" s="16" t="s">
        <v>184</v>
      </c>
      <c r="C26" s="60" t="str">
        <f>IFERROR(ROUND(C25/((C24/100)^2),1),"—")</f>
        <v>—</v>
      </c>
      <c r="E26" s="16" t="s">
        <v>185</v>
      </c>
      <c r="F26" s="60" t="str">
        <f>IFERROR(IF(C26&lt;18.5,"⬇ Underweight",IF(C26&lt;25,"✅ Normal",IF(C26&lt;30,"⚠️ Overweight","🔴 Obese"))),"—")</f>
        <v>🔴 Obese</v>
      </c>
    </row>
    <row r="27" spans="2:8" ht="19.5" customHeight="1" x14ac:dyDescent="0.2">
      <c r="B27" s="16" t="s">
        <v>186</v>
      </c>
      <c r="C27" s="61">
        <f>IFERROR(C24-C25,"—")</f>
        <v>0</v>
      </c>
      <c r="E27" s="16" t="s">
        <v>187</v>
      </c>
      <c r="F27" s="61" t="str">
        <f>IFERROR(TEXT((C24-C25)/(C24-F25),"0%"),"—")</f>
        <v>—</v>
      </c>
    </row>
    <row r="28" spans="2:8" ht="7.5" customHeight="1" x14ac:dyDescent="0.2"/>
    <row r="29" spans="2:8" ht="25.5" customHeight="1" x14ac:dyDescent="0.2">
      <c r="B29" s="75" t="s">
        <v>188</v>
      </c>
      <c r="C29" s="75"/>
      <c r="D29" s="75"/>
      <c r="E29" s="75"/>
      <c r="F29" s="75"/>
      <c r="G29" s="75"/>
      <c r="H29" s="75"/>
    </row>
    <row r="30" spans="2:8" ht="19.5" customHeight="1" x14ac:dyDescent="0.2">
      <c r="B30" s="16" t="s">
        <v>189</v>
      </c>
      <c r="C30" s="56">
        <v>0</v>
      </c>
      <c r="E30" s="16" t="s">
        <v>154</v>
      </c>
      <c r="F30" s="56" t="s">
        <v>30</v>
      </c>
    </row>
    <row r="31" spans="2:8" ht="30" customHeight="1" x14ac:dyDescent="0.2">
      <c r="B31" s="13" t="s">
        <v>190</v>
      </c>
      <c r="C31" s="13" t="s">
        <v>191</v>
      </c>
      <c r="D31" s="13" t="s">
        <v>150</v>
      </c>
      <c r="E31" s="13" t="s">
        <v>192</v>
      </c>
      <c r="F31" s="13" t="s">
        <v>193</v>
      </c>
    </row>
    <row r="32" spans="2:8" ht="19.5" customHeight="1" x14ac:dyDescent="0.2">
      <c r="B32" s="17">
        <v>1</v>
      </c>
      <c r="C32" s="17"/>
      <c r="D32" s="17"/>
      <c r="E32" s="17"/>
      <c r="F32" s="17"/>
    </row>
    <row r="33" spans="2:8" ht="19.5" customHeight="1" x14ac:dyDescent="0.2">
      <c r="B33" s="31">
        <v>2</v>
      </c>
      <c r="C33" s="31"/>
      <c r="D33" s="31"/>
      <c r="E33" s="31"/>
      <c r="F33" s="31"/>
    </row>
    <row r="34" spans="2:8" ht="19.5" customHeight="1" x14ac:dyDescent="0.2">
      <c r="B34" s="17">
        <v>3</v>
      </c>
      <c r="C34" s="17"/>
      <c r="D34" s="17"/>
      <c r="E34" s="17"/>
      <c r="F34" s="17"/>
    </row>
    <row r="35" spans="2:8" ht="19.5" customHeight="1" x14ac:dyDescent="0.2">
      <c r="B35" s="31">
        <v>4</v>
      </c>
      <c r="C35" s="31"/>
      <c r="D35" s="31"/>
      <c r="E35" s="31"/>
      <c r="F35" s="31"/>
    </row>
    <row r="36" spans="2:8" ht="19.5" customHeight="1" x14ac:dyDescent="0.2">
      <c r="B36" s="17">
        <v>5</v>
      </c>
      <c r="C36" s="17"/>
      <c r="D36" s="17"/>
      <c r="E36" s="17"/>
      <c r="F36" s="17"/>
    </row>
    <row r="37" spans="2:8" ht="7.5" customHeight="1" x14ac:dyDescent="0.2"/>
    <row r="38" spans="2:8" ht="25.5" customHeight="1" x14ac:dyDescent="0.2">
      <c r="B38" s="80" t="s">
        <v>194</v>
      </c>
      <c r="C38" s="80"/>
      <c r="D38" s="80"/>
      <c r="E38" s="80"/>
      <c r="F38" s="80"/>
      <c r="G38" s="80"/>
      <c r="H38" s="80"/>
    </row>
    <row r="39" spans="2:8" ht="30" customHeight="1" x14ac:dyDescent="0.2">
      <c r="B39" s="63" t="s">
        <v>195</v>
      </c>
      <c r="C39" s="63" t="s">
        <v>196</v>
      </c>
      <c r="D39" s="63" t="s">
        <v>8</v>
      </c>
      <c r="E39" s="63" t="s">
        <v>3</v>
      </c>
      <c r="F39" s="63" t="s">
        <v>197</v>
      </c>
      <c r="G39" s="63" t="s">
        <v>198</v>
      </c>
      <c r="H39" s="63" t="s">
        <v>193</v>
      </c>
    </row>
    <row r="40" spans="2:8" ht="19.5" customHeight="1" x14ac:dyDescent="0.2">
      <c r="B40" s="14" t="s">
        <v>199</v>
      </c>
      <c r="C40" s="64">
        <v>46037</v>
      </c>
      <c r="D40" s="17" t="s">
        <v>16</v>
      </c>
      <c r="E40" s="24" t="s">
        <v>15</v>
      </c>
      <c r="F40" s="17" t="s">
        <v>200</v>
      </c>
      <c r="G40" s="17"/>
      <c r="H40" s="14" t="s">
        <v>201</v>
      </c>
    </row>
    <row r="41" spans="2:8" ht="19.5" customHeight="1" x14ac:dyDescent="0.2">
      <c r="B41" s="15" t="s">
        <v>202</v>
      </c>
      <c r="C41" s="65">
        <v>46107</v>
      </c>
      <c r="D41" s="31" t="s">
        <v>16</v>
      </c>
      <c r="E41" s="24" t="s">
        <v>15</v>
      </c>
      <c r="F41" s="31" t="s">
        <v>200</v>
      </c>
      <c r="G41" s="31"/>
      <c r="H41" s="15" t="s">
        <v>203</v>
      </c>
    </row>
    <row r="42" spans="2:8" ht="19.5" customHeight="1" x14ac:dyDescent="0.2">
      <c r="B42" s="14" t="s">
        <v>204</v>
      </c>
      <c r="C42" s="64">
        <v>46110</v>
      </c>
      <c r="D42" s="17" t="s">
        <v>24</v>
      </c>
      <c r="E42" s="24" t="s">
        <v>15</v>
      </c>
      <c r="F42" s="17" t="s">
        <v>205</v>
      </c>
      <c r="G42" s="17"/>
      <c r="H42" s="14" t="s">
        <v>206</v>
      </c>
    </row>
    <row r="43" spans="2:8" ht="19.5" customHeight="1" x14ac:dyDescent="0.2">
      <c r="B43" s="15" t="s">
        <v>207</v>
      </c>
      <c r="C43" s="65">
        <v>46112</v>
      </c>
      <c r="D43" s="31" t="s">
        <v>16</v>
      </c>
      <c r="E43" s="24" t="s">
        <v>15</v>
      </c>
      <c r="F43" s="31" t="s">
        <v>208</v>
      </c>
      <c r="G43" s="31"/>
      <c r="H43" s="15" t="s">
        <v>209</v>
      </c>
    </row>
    <row r="44" spans="2:8" ht="19.5" customHeight="1" x14ac:dyDescent="0.2">
      <c r="B44" s="14" t="s">
        <v>210</v>
      </c>
      <c r="C44" s="64">
        <v>46106</v>
      </c>
      <c r="D44" s="17" t="s">
        <v>24</v>
      </c>
      <c r="E44" s="24" t="s">
        <v>15</v>
      </c>
      <c r="F44" s="17" t="s">
        <v>211</v>
      </c>
      <c r="G44" s="17"/>
      <c r="H44" s="14" t="s">
        <v>212</v>
      </c>
    </row>
    <row r="45" spans="2:8" ht="19.5" customHeight="1" x14ac:dyDescent="0.2">
      <c r="B45" s="15" t="s">
        <v>213</v>
      </c>
      <c r="C45" s="65">
        <v>46023</v>
      </c>
      <c r="D45" s="31" t="s">
        <v>16</v>
      </c>
      <c r="E45" s="20" t="s">
        <v>31</v>
      </c>
      <c r="F45" s="31" t="s">
        <v>214</v>
      </c>
      <c r="G45" s="31" t="s">
        <v>285</v>
      </c>
      <c r="H45" s="15" t="s">
        <v>216</v>
      </c>
    </row>
    <row r="46" spans="2:8" ht="19.5" customHeight="1" x14ac:dyDescent="0.2">
      <c r="B46" s="14" t="s">
        <v>217</v>
      </c>
      <c r="C46" s="64">
        <v>46025</v>
      </c>
      <c r="D46" s="17" t="s">
        <v>16</v>
      </c>
      <c r="E46" s="20" t="s">
        <v>31</v>
      </c>
      <c r="F46" s="17" t="s">
        <v>214</v>
      </c>
      <c r="G46" s="17" t="s">
        <v>286</v>
      </c>
      <c r="H46" s="14" t="s">
        <v>219</v>
      </c>
    </row>
    <row r="47" spans="2:8" ht="19.5" customHeight="1" x14ac:dyDescent="0.2">
      <c r="B47" s="31"/>
      <c r="C47" s="31"/>
      <c r="D47" s="31"/>
      <c r="E47" s="31"/>
      <c r="F47" s="31"/>
      <c r="G47" s="31"/>
      <c r="H47" s="31"/>
    </row>
    <row r="48" spans="2:8" ht="19.5" customHeight="1" x14ac:dyDescent="0.2">
      <c r="B48" s="17"/>
      <c r="C48" s="17"/>
      <c r="D48" s="17"/>
      <c r="E48" s="17"/>
      <c r="F48" s="17"/>
      <c r="G48" s="17"/>
      <c r="H48" s="17"/>
    </row>
    <row r="49" spans="2:8" ht="19.5" customHeight="1" x14ac:dyDescent="0.2">
      <c r="B49" s="31"/>
      <c r="C49" s="31"/>
      <c r="D49" s="31"/>
      <c r="E49" s="31"/>
      <c r="F49" s="31"/>
      <c r="G49" s="31"/>
      <c r="H49" s="31"/>
    </row>
    <row r="50" spans="2:8" ht="19.5" customHeight="1" x14ac:dyDescent="0.2">
      <c r="B50" s="17"/>
      <c r="C50" s="17"/>
      <c r="D50" s="17"/>
      <c r="E50" s="17"/>
      <c r="F50" s="17"/>
      <c r="G50" s="17"/>
      <c r="H50" s="17"/>
    </row>
    <row r="51" spans="2:8" ht="19.5" customHeight="1" x14ac:dyDescent="0.2">
      <c r="B51" s="31"/>
      <c r="C51" s="31"/>
      <c r="D51" s="31"/>
      <c r="E51" s="31"/>
      <c r="F51" s="31"/>
      <c r="G51" s="31"/>
      <c r="H51" s="31"/>
    </row>
    <row r="52" spans="2:8" ht="19.5" customHeight="1" x14ac:dyDescent="0.2">
      <c r="B52" s="17"/>
      <c r="C52" s="17"/>
      <c r="D52" s="17"/>
      <c r="E52" s="17"/>
      <c r="F52" s="17"/>
      <c r="G52" s="17"/>
      <c r="H52" s="17"/>
    </row>
    <row r="53" spans="2:8" ht="19.5" customHeight="1" x14ac:dyDescent="0.2">
      <c r="B53" s="31"/>
      <c r="C53" s="31"/>
      <c r="D53" s="31"/>
      <c r="E53" s="31"/>
      <c r="F53" s="31"/>
      <c r="G53" s="31"/>
      <c r="H53" s="31"/>
    </row>
    <row r="54" spans="2:8" ht="19.5" customHeight="1" x14ac:dyDescent="0.2">
      <c r="B54" s="17"/>
      <c r="C54" s="17"/>
      <c r="D54" s="17"/>
      <c r="E54" s="17"/>
      <c r="F54" s="17"/>
      <c r="G54" s="17"/>
      <c r="H54" s="17"/>
    </row>
    <row r="55" spans="2:8" ht="19.5" customHeight="1" x14ac:dyDescent="0.2">
      <c r="B55" s="31"/>
      <c r="C55" s="31"/>
      <c r="D55" s="31"/>
      <c r="E55" s="31"/>
      <c r="F55" s="31"/>
      <c r="G55" s="31"/>
      <c r="H55" s="31"/>
    </row>
    <row r="56" spans="2:8" ht="19.5" customHeight="1" x14ac:dyDescent="0.2">
      <c r="B56" s="17"/>
      <c r="C56" s="17"/>
      <c r="D56" s="17"/>
      <c r="E56" s="17"/>
      <c r="F56" s="17"/>
      <c r="G56" s="17"/>
      <c r="H56" s="17"/>
    </row>
    <row r="57" spans="2:8" ht="19.5" customHeight="1" x14ac:dyDescent="0.2">
      <c r="B57" s="31"/>
      <c r="C57" s="31"/>
      <c r="D57" s="31"/>
      <c r="E57" s="31"/>
      <c r="F57" s="31"/>
      <c r="G57" s="31"/>
      <c r="H57" s="31"/>
    </row>
    <row r="58" spans="2:8" ht="19.5" customHeight="1" x14ac:dyDescent="0.2">
      <c r="B58" s="17"/>
      <c r="C58" s="17"/>
      <c r="D58" s="17"/>
      <c r="E58" s="17"/>
      <c r="F58" s="17"/>
      <c r="G58" s="17"/>
      <c r="H58" s="17"/>
    </row>
    <row r="60" spans="2:8" ht="7.5" customHeight="1" x14ac:dyDescent="0.2"/>
    <row r="61" spans="2:8" ht="25.5" customHeight="1" x14ac:dyDescent="0.2">
      <c r="B61" s="75" t="s">
        <v>220</v>
      </c>
      <c r="C61" s="75"/>
      <c r="D61" s="75"/>
      <c r="E61" s="75"/>
      <c r="F61" s="75"/>
      <c r="G61" s="75"/>
      <c r="H61" s="75"/>
    </row>
    <row r="62" spans="2:8" ht="30" customHeight="1" x14ac:dyDescent="0.2">
      <c r="B62" s="13" t="s">
        <v>221</v>
      </c>
      <c r="C62" s="13" t="s">
        <v>222</v>
      </c>
      <c r="D62" s="13" t="s">
        <v>223</v>
      </c>
      <c r="E62" s="13" t="s">
        <v>224</v>
      </c>
      <c r="F62" s="13" t="s">
        <v>225</v>
      </c>
      <c r="G62" s="13" t="s">
        <v>226</v>
      </c>
      <c r="H62" s="13" t="s">
        <v>227</v>
      </c>
    </row>
    <row r="63" spans="2:8" ht="19.5" customHeight="1" x14ac:dyDescent="0.2">
      <c r="B63" s="66">
        <v>46023</v>
      </c>
      <c r="C63" s="14" t="s">
        <v>228</v>
      </c>
      <c r="D63" s="14" t="s">
        <v>326</v>
      </c>
      <c r="E63" s="14" t="s">
        <v>230</v>
      </c>
      <c r="F63" s="14" t="s">
        <v>231</v>
      </c>
      <c r="G63" s="14" t="s">
        <v>232</v>
      </c>
      <c r="H63" s="14" t="s">
        <v>233</v>
      </c>
    </row>
    <row r="64" spans="2:8" ht="19.5" customHeight="1" x14ac:dyDescent="0.2">
      <c r="B64" s="67">
        <v>46038</v>
      </c>
      <c r="C64" s="15" t="s">
        <v>234</v>
      </c>
      <c r="D64" s="15" t="s">
        <v>327</v>
      </c>
      <c r="E64" s="15" t="s">
        <v>236</v>
      </c>
      <c r="F64" s="15" t="s">
        <v>237</v>
      </c>
      <c r="G64" s="15" t="s">
        <v>238</v>
      </c>
      <c r="H64" s="15" t="s">
        <v>233</v>
      </c>
    </row>
    <row r="65" spans="2:9" ht="19.5" customHeight="1" x14ac:dyDescent="0.2">
      <c r="B65" s="66">
        <v>46023</v>
      </c>
      <c r="C65" s="14" t="s">
        <v>239</v>
      </c>
      <c r="D65" s="14" t="s">
        <v>107</v>
      </c>
      <c r="E65" s="14" t="s">
        <v>240</v>
      </c>
      <c r="F65" s="14" t="s">
        <v>241</v>
      </c>
      <c r="G65" s="14" t="s">
        <v>242</v>
      </c>
      <c r="H65" s="14" t="s">
        <v>233</v>
      </c>
    </row>
    <row r="66" spans="2:9" ht="19.5" customHeight="1" x14ac:dyDescent="0.2">
      <c r="B66" s="15"/>
      <c r="C66" s="15"/>
      <c r="D66" s="15"/>
      <c r="E66" s="15"/>
      <c r="F66" s="15"/>
      <c r="G66" s="15"/>
      <c r="H66" s="15"/>
    </row>
    <row r="67" spans="2:9" ht="19.5" customHeight="1" x14ac:dyDescent="0.2">
      <c r="B67" s="14"/>
      <c r="C67" s="14"/>
      <c r="D67" s="14"/>
      <c r="E67" s="14"/>
      <c r="F67" s="14"/>
      <c r="G67" s="14"/>
      <c r="H67" s="14"/>
    </row>
    <row r="68" spans="2:9" ht="19.5" customHeight="1" x14ac:dyDescent="0.2">
      <c r="B68" s="15"/>
      <c r="C68" s="15"/>
      <c r="D68" s="15"/>
      <c r="E68" s="15"/>
      <c r="F68" s="15"/>
      <c r="G68" s="15"/>
      <c r="H68" s="15"/>
    </row>
    <row r="69" spans="2:9" ht="19.5" customHeight="1" x14ac:dyDescent="0.2">
      <c r="B69" s="14"/>
      <c r="C69" s="14"/>
      <c r="D69" s="14"/>
      <c r="E69" s="14"/>
      <c r="F69" s="14"/>
      <c r="G69" s="14"/>
      <c r="H69" s="14"/>
    </row>
    <row r="70" spans="2:9" ht="19.5" customHeight="1" x14ac:dyDescent="0.2">
      <c r="B70" s="15"/>
      <c r="C70" s="15"/>
      <c r="D70" s="15"/>
      <c r="E70" s="15"/>
      <c r="F70" s="15"/>
      <c r="G70" s="15"/>
      <c r="H70" s="15"/>
    </row>
    <row r="71" spans="2:9" ht="19.5" customHeight="1" x14ac:dyDescent="0.2">
      <c r="B71" s="14"/>
      <c r="C71" s="14"/>
      <c r="D71" s="14"/>
      <c r="E71" s="14"/>
      <c r="F71" s="14"/>
      <c r="G71" s="14"/>
      <c r="H71" s="14"/>
    </row>
    <row r="72" spans="2:9" ht="19.5" customHeight="1" x14ac:dyDescent="0.2">
      <c r="B72" s="15"/>
      <c r="C72" s="15"/>
      <c r="D72" s="15"/>
      <c r="E72" s="15"/>
      <c r="F72" s="15"/>
      <c r="G72" s="15"/>
      <c r="H72" s="15"/>
    </row>
    <row r="73" spans="2:9" ht="7.5" customHeight="1" x14ac:dyDescent="0.2"/>
    <row r="74" spans="2:9" ht="25.5" customHeight="1" x14ac:dyDescent="0.2">
      <c r="B74" s="75" t="s">
        <v>243</v>
      </c>
      <c r="C74" s="75"/>
      <c r="D74" s="75"/>
      <c r="E74" s="75"/>
      <c r="F74" s="75"/>
      <c r="G74" s="75"/>
      <c r="H74" s="75"/>
    </row>
    <row r="75" spans="2:9" ht="18" customHeight="1" x14ac:dyDescent="0.2">
      <c r="B75" s="81" t="s">
        <v>328</v>
      </c>
      <c r="C75" s="81"/>
      <c r="D75" s="81"/>
      <c r="E75" s="81"/>
      <c r="F75" s="81"/>
      <c r="G75" s="81"/>
      <c r="H75" s="81"/>
      <c r="I75" s="81"/>
    </row>
    <row r="76" spans="2:9" ht="30" customHeight="1" x14ac:dyDescent="0.2">
      <c r="B76" s="13" t="s">
        <v>221</v>
      </c>
      <c r="C76" s="13" t="s">
        <v>245</v>
      </c>
      <c r="D76" s="13" t="s">
        <v>222</v>
      </c>
      <c r="E76" s="13" t="s">
        <v>246</v>
      </c>
      <c r="F76" s="13" t="s">
        <v>139</v>
      </c>
      <c r="G76" s="13" t="s">
        <v>140</v>
      </c>
      <c r="H76" s="13" t="s">
        <v>142</v>
      </c>
      <c r="I76" s="13" t="s">
        <v>247</v>
      </c>
    </row>
    <row r="77" spans="2:9" ht="19.5" customHeight="1" x14ac:dyDescent="0.2">
      <c r="B77" s="64" t="s">
        <v>361</v>
      </c>
      <c r="C77" s="17" t="s">
        <v>361</v>
      </c>
      <c r="D77" s="17" t="s">
        <v>361</v>
      </c>
      <c r="E77" s="50" t="s">
        <v>361</v>
      </c>
      <c r="F77" s="50" t="s">
        <v>361</v>
      </c>
      <c r="G77" s="50" t="s">
        <v>361</v>
      </c>
      <c r="H77" s="50" t="s">
        <v>361</v>
      </c>
      <c r="I77" s="17" t="s">
        <v>361</v>
      </c>
    </row>
    <row r="78" spans="2:9" ht="19.5" customHeight="1" x14ac:dyDescent="0.2">
      <c r="B78" s="65" t="s">
        <v>361</v>
      </c>
      <c r="C78" s="31" t="s">
        <v>361</v>
      </c>
      <c r="D78" s="31" t="s">
        <v>361</v>
      </c>
      <c r="E78" s="52" t="s">
        <v>361</v>
      </c>
      <c r="F78" s="52" t="s">
        <v>361</v>
      </c>
      <c r="G78" s="52" t="s">
        <v>361</v>
      </c>
      <c r="H78" s="52" t="s">
        <v>361</v>
      </c>
      <c r="I78" s="31" t="s">
        <v>361</v>
      </c>
    </row>
    <row r="79" spans="2:9" ht="19.5" customHeight="1" x14ac:dyDescent="0.2">
      <c r="B79" s="64" t="s">
        <v>361</v>
      </c>
      <c r="C79" s="17" t="s">
        <v>361</v>
      </c>
      <c r="D79" s="17" t="s">
        <v>361</v>
      </c>
      <c r="E79" s="50" t="s">
        <v>361</v>
      </c>
      <c r="F79" s="50" t="s">
        <v>361</v>
      </c>
      <c r="G79" s="50" t="s">
        <v>361</v>
      </c>
      <c r="H79" s="50" t="s">
        <v>361</v>
      </c>
      <c r="I79" s="17" t="s">
        <v>361</v>
      </c>
    </row>
    <row r="80" spans="2:9" ht="19.5" customHeight="1" x14ac:dyDescent="0.2">
      <c r="B80" s="65" t="s">
        <v>361</v>
      </c>
      <c r="C80" s="31" t="s">
        <v>361</v>
      </c>
      <c r="D80" s="31" t="s">
        <v>361</v>
      </c>
      <c r="E80" s="52" t="s">
        <v>361</v>
      </c>
      <c r="F80" s="52" t="s">
        <v>361</v>
      </c>
      <c r="G80" s="52" t="s">
        <v>361</v>
      </c>
      <c r="H80" s="52" t="s">
        <v>361</v>
      </c>
      <c r="I80" s="31" t="s">
        <v>361</v>
      </c>
    </row>
    <row r="81" spans="2:9" ht="19.5" customHeight="1" x14ac:dyDescent="0.2">
      <c r="B81" s="64" t="s">
        <v>361</v>
      </c>
      <c r="C81" s="17" t="s">
        <v>361</v>
      </c>
      <c r="D81" s="17" t="s">
        <v>361</v>
      </c>
      <c r="E81" s="50" t="s">
        <v>361</v>
      </c>
      <c r="F81" s="50" t="s">
        <v>361</v>
      </c>
      <c r="G81" s="50" t="s">
        <v>361</v>
      </c>
      <c r="H81" s="50" t="s">
        <v>361</v>
      </c>
      <c r="I81" s="17" t="s">
        <v>361</v>
      </c>
    </row>
    <row r="82" spans="2:9" ht="19.5" customHeight="1" x14ac:dyDescent="0.2">
      <c r="B82" s="65" t="s">
        <v>361</v>
      </c>
      <c r="C82" s="31" t="s">
        <v>361</v>
      </c>
      <c r="D82" s="31" t="s">
        <v>361</v>
      </c>
      <c r="E82" s="52" t="s">
        <v>361</v>
      </c>
      <c r="F82" s="52" t="s">
        <v>361</v>
      </c>
      <c r="G82" s="52" t="s">
        <v>361</v>
      </c>
      <c r="H82" s="52" t="s">
        <v>361</v>
      </c>
      <c r="I82" s="31" t="s">
        <v>361</v>
      </c>
    </row>
    <row r="83" spans="2:9" ht="19.5" customHeight="1" x14ac:dyDescent="0.2">
      <c r="B83" s="64" t="s">
        <v>361</v>
      </c>
      <c r="C83" s="17" t="s">
        <v>361</v>
      </c>
      <c r="D83" s="17" t="s">
        <v>361</v>
      </c>
      <c r="E83" s="50" t="s">
        <v>361</v>
      </c>
      <c r="F83" s="50" t="s">
        <v>361</v>
      </c>
      <c r="G83" s="50" t="s">
        <v>361</v>
      </c>
      <c r="H83" s="50" t="s">
        <v>361</v>
      </c>
      <c r="I83" s="17" t="s">
        <v>361</v>
      </c>
    </row>
    <row r="84" spans="2:9" ht="19.5" customHeight="1" x14ac:dyDescent="0.2">
      <c r="B84" s="65" t="s">
        <v>361</v>
      </c>
      <c r="C84" s="31" t="s">
        <v>361</v>
      </c>
      <c r="D84" s="31" t="s">
        <v>361</v>
      </c>
      <c r="E84" s="52" t="s">
        <v>361</v>
      </c>
      <c r="F84" s="52" t="s">
        <v>361</v>
      </c>
      <c r="G84" s="52" t="s">
        <v>361</v>
      </c>
      <c r="H84" s="52" t="s">
        <v>361</v>
      </c>
      <c r="I84" s="31" t="s">
        <v>361</v>
      </c>
    </row>
    <row r="85" spans="2:9" ht="19.5" customHeight="1" x14ac:dyDescent="0.2">
      <c r="B85" s="64" t="s">
        <v>361</v>
      </c>
      <c r="C85" s="17" t="s">
        <v>361</v>
      </c>
      <c r="D85" s="17" t="s">
        <v>361</v>
      </c>
      <c r="E85" s="50" t="s">
        <v>361</v>
      </c>
      <c r="F85" s="50" t="s">
        <v>361</v>
      </c>
      <c r="G85" s="50" t="s">
        <v>361</v>
      </c>
      <c r="H85" s="50" t="s">
        <v>361</v>
      </c>
      <c r="I85" s="17" t="s">
        <v>361</v>
      </c>
    </row>
    <row r="86" spans="2:9" ht="19.5" customHeight="1" x14ac:dyDescent="0.2">
      <c r="B86" s="65" t="s">
        <v>361</v>
      </c>
      <c r="C86" s="31" t="s">
        <v>361</v>
      </c>
      <c r="D86" s="31" t="s">
        <v>361</v>
      </c>
      <c r="E86" s="52" t="s">
        <v>361</v>
      </c>
      <c r="F86" s="52" t="s">
        <v>361</v>
      </c>
      <c r="G86" s="52" t="s">
        <v>361</v>
      </c>
      <c r="H86" s="52" t="s">
        <v>361</v>
      </c>
      <c r="I86" s="31" t="s">
        <v>361</v>
      </c>
    </row>
    <row r="87" spans="2:9" ht="19.5" customHeight="1" x14ac:dyDescent="0.2">
      <c r="B87" s="64" t="s">
        <v>361</v>
      </c>
      <c r="C87" s="17" t="s">
        <v>361</v>
      </c>
      <c r="D87" s="17" t="s">
        <v>361</v>
      </c>
      <c r="E87" s="50" t="s">
        <v>361</v>
      </c>
      <c r="F87" s="50" t="s">
        <v>361</v>
      </c>
      <c r="G87" s="50" t="s">
        <v>361</v>
      </c>
      <c r="H87" s="50" t="s">
        <v>361</v>
      </c>
      <c r="I87" s="17" t="s">
        <v>361</v>
      </c>
    </row>
    <row r="88" spans="2:9" ht="19.5" customHeight="1" x14ac:dyDescent="0.2">
      <c r="B88" s="65" t="s">
        <v>361</v>
      </c>
      <c r="C88" s="31" t="s">
        <v>361</v>
      </c>
      <c r="D88" s="31" t="s">
        <v>361</v>
      </c>
      <c r="E88" s="52" t="s">
        <v>361</v>
      </c>
      <c r="F88" s="52" t="s">
        <v>361</v>
      </c>
      <c r="G88" s="52" t="s">
        <v>361</v>
      </c>
      <c r="H88" s="52" t="s">
        <v>361</v>
      </c>
      <c r="I88" s="31" t="s">
        <v>361</v>
      </c>
    </row>
    <row r="89" spans="2:9" ht="19.5" customHeight="1" x14ac:dyDescent="0.2">
      <c r="B89" s="64" t="s">
        <v>361</v>
      </c>
      <c r="C89" s="17" t="s">
        <v>361</v>
      </c>
      <c r="D89" s="17" t="s">
        <v>361</v>
      </c>
      <c r="E89" s="50" t="s">
        <v>361</v>
      </c>
      <c r="F89" s="50" t="s">
        <v>361</v>
      </c>
      <c r="G89" s="50" t="s">
        <v>361</v>
      </c>
      <c r="H89" s="50" t="s">
        <v>361</v>
      </c>
      <c r="I89" s="17" t="s">
        <v>361</v>
      </c>
    </row>
    <row r="90" spans="2:9" ht="19.5" customHeight="1" x14ac:dyDescent="0.2">
      <c r="B90" s="65" t="s">
        <v>361</v>
      </c>
      <c r="C90" s="31" t="s">
        <v>361</v>
      </c>
      <c r="D90" s="31" t="s">
        <v>361</v>
      </c>
      <c r="E90" s="52" t="s">
        <v>361</v>
      </c>
      <c r="F90" s="52" t="s">
        <v>361</v>
      </c>
      <c r="G90" s="52" t="s">
        <v>361</v>
      </c>
      <c r="H90" s="52" t="s">
        <v>361</v>
      </c>
      <c r="I90" s="31" t="s">
        <v>361</v>
      </c>
    </row>
    <row r="91" spans="2:9" ht="19.5" customHeight="1" x14ac:dyDescent="0.2">
      <c r="B91" s="64" t="s">
        <v>361</v>
      </c>
      <c r="C91" s="17" t="s">
        <v>361</v>
      </c>
      <c r="D91" s="17" t="s">
        <v>361</v>
      </c>
      <c r="E91" s="50" t="s">
        <v>361</v>
      </c>
      <c r="F91" s="50" t="s">
        <v>361</v>
      </c>
      <c r="G91" s="50" t="s">
        <v>361</v>
      </c>
      <c r="H91" s="50" t="s">
        <v>361</v>
      </c>
      <c r="I91" s="17" t="s">
        <v>361</v>
      </c>
    </row>
    <row r="92" spans="2:9" ht="24" customHeight="1" x14ac:dyDescent="0.2">
      <c r="B92" s="82" t="s">
        <v>248</v>
      </c>
      <c r="C92" s="82"/>
      <c r="D92" s="82"/>
      <c r="E92" s="68">
        <f>IFERROR(SUM(E77:E91),0)</f>
        <v>0</v>
      </c>
      <c r="F92" s="68">
        <f>IFERROR(SUM(F77:F91),0)</f>
        <v>0</v>
      </c>
      <c r="G92" s="68">
        <f>IFERROR(SUM(G77:G91),0)</f>
        <v>0</v>
      </c>
      <c r="H92" s="69"/>
    </row>
    <row r="93" spans="2:9" ht="7.5" customHeight="1" x14ac:dyDescent="0.2"/>
    <row r="94" spans="2:9" ht="25.5" customHeight="1" x14ac:dyDescent="0.2">
      <c r="B94" s="75" t="s">
        <v>249</v>
      </c>
      <c r="C94" s="75"/>
      <c r="D94" s="75"/>
      <c r="E94" s="75"/>
      <c r="F94" s="75"/>
      <c r="G94" s="75"/>
      <c r="H94" s="75"/>
    </row>
    <row r="95" spans="2:9" ht="30" customHeight="1" x14ac:dyDescent="0.2">
      <c r="B95" s="13" t="s">
        <v>250</v>
      </c>
      <c r="C95" s="13" t="s">
        <v>221</v>
      </c>
      <c r="D95" s="13" t="s">
        <v>251</v>
      </c>
      <c r="E95" s="13" t="s">
        <v>252</v>
      </c>
      <c r="F95" s="13" t="s">
        <v>246</v>
      </c>
      <c r="G95" s="13" t="s">
        <v>193</v>
      </c>
    </row>
    <row r="96" spans="2:9" ht="19.5" customHeight="1" x14ac:dyDescent="0.2">
      <c r="B96" s="17"/>
      <c r="C96" s="17"/>
      <c r="D96" s="17"/>
      <c r="E96" s="50"/>
      <c r="F96" s="50"/>
      <c r="G96" s="17"/>
    </row>
    <row r="97" spans="2:8" ht="19.5" customHeight="1" x14ac:dyDescent="0.2">
      <c r="B97" s="31"/>
      <c r="C97" s="31"/>
      <c r="D97" s="31"/>
      <c r="E97" s="52"/>
      <c r="F97" s="52"/>
      <c r="G97" s="31"/>
    </row>
    <row r="98" spans="2:8" ht="19.5" customHeight="1" x14ac:dyDescent="0.2">
      <c r="B98" s="17"/>
      <c r="C98" s="17"/>
      <c r="D98" s="17"/>
      <c r="E98" s="50"/>
      <c r="F98" s="50"/>
      <c r="G98" s="17"/>
    </row>
    <row r="99" spans="2:8" ht="19.5" customHeight="1" x14ac:dyDescent="0.2">
      <c r="B99" s="31"/>
      <c r="C99" s="31"/>
      <c r="D99" s="31"/>
      <c r="E99" s="52"/>
      <c r="F99" s="52"/>
      <c r="G99" s="31"/>
    </row>
    <row r="100" spans="2:8" ht="19.5" customHeight="1" x14ac:dyDescent="0.2">
      <c r="B100" s="17"/>
      <c r="C100" s="17"/>
      <c r="D100" s="17"/>
      <c r="E100" s="50"/>
      <c r="F100" s="50"/>
      <c r="G100" s="17"/>
    </row>
    <row r="101" spans="2:8" ht="19.5" customHeight="1" x14ac:dyDescent="0.2">
      <c r="B101" s="31"/>
      <c r="C101" s="31"/>
      <c r="D101" s="31"/>
      <c r="E101" s="52"/>
      <c r="F101" s="52"/>
      <c r="G101" s="31"/>
    </row>
    <row r="103" spans="2:8" ht="7.5" customHeight="1" x14ac:dyDescent="0.2"/>
    <row r="104" spans="2:8" ht="25.5" customHeight="1" x14ac:dyDescent="0.2">
      <c r="B104" s="75" t="s">
        <v>253</v>
      </c>
      <c r="C104" s="75"/>
      <c r="D104" s="75"/>
      <c r="E104" s="75"/>
      <c r="F104" s="75"/>
      <c r="G104" s="75"/>
      <c r="H104" s="75"/>
    </row>
    <row r="105" spans="2:8" ht="18" customHeight="1" x14ac:dyDescent="0.2">
      <c r="B105" s="83" t="s">
        <v>254</v>
      </c>
      <c r="C105" s="83"/>
      <c r="D105" s="83"/>
      <c r="E105" s="83"/>
      <c r="F105" s="83"/>
      <c r="G105" s="83"/>
      <c r="H105" s="83"/>
    </row>
    <row r="106" spans="2:8" ht="18" customHeight="1" x14ac:dyDescent="0.2">
      <c r="B106" s="83"/>
      <c r="C106" s="83"/>
      <c r="D106" s="83"/>
      <c r="E106" s="83"/>
      <c r="F106" s="83"/>
      <c r="G106" s="83"/>
      <c r="H106" s="83"/>
    </row>
    <row r="107" spans="2:8" ht="18" customHeight="1" x14ac:dyDescent="0.2">
      <c r="B107" s="83"/>
      <c r="C107" s="83"/>
      <c r="D107" s="83"/>
      <c r="E107" s="83"/>
      <c r="F107" s="83"/>
      <c r="G107" s="83"/>
      <c r="H107" s="83"/>
    </row>
    <row r="108" spans="2:8" ht="18" customHeight="1" x14ac:dyDescent="0.2">
      <c r="B108" s="83"/>
      <c r="C108" s="83"/>
      <c r="D108" s="83"/>
      <c r="E108" s="83"/>
      <c r="F108" s="83"/>
      <c r="G108" s="83"/>
      <c r="H108" s="83"/>
    </row>
    <row r="109" spans="2:8" ht="18" customHeight="1" x14ac:dyDescent="0.2">
      <c r="B109" s="83"/>
      <c r="C109" s="83"/>
      <c r="D109" s="83"/>
      <c r="E109" s="83"/>
      <c r="F109" s="83"/>
      <c r="G109" s="83"/>
      <c r="H109" s="83"/>
    </row>
  </sheetData>
  <mergeCells count="16">
    <mergeCell ref="B105:H109"/>
    <mergeCell ref="B74:H74"/>
    <mergeCell ref="B75:I75"/>
    <mergeCell ref="B92:D92"/>
    <mergeCell ref="B94:H94"/>
    <mergeCell ref="B104:H104"/>
    <mergeCell ref="B16:H16"/>
    <mergeCell ref="B23:H23"/>
    <mergeCell ref="B29:H29"/>
    <mergeCell ref="B38:H38"/>
    <mergeCell ref="B61:H61"/>
    <mergeCell ref="A1:I1"/>
    <mergeCell ref="A2:I2"/>
    <mergeCell ref="B4:H4"/>
    <mergeCell ref="B7:J7"/>
    <mergeCell ref="B9:H9"/>
  </mergeCells>
  <conditionalFormatting sqref="C40:C59">
    <cfRule type="cellIs" dxfId="1" priority="2" operator="lessThan">
      <formula>TODAY()</formula>
    </cfRule>
  </conditionalFormatting>
  <dataValidations count="7">
    <dataValidation type="list" allowBlank="1" sqref="D6" xr:uid="{00000000-0002-0000-0D00-000000000000}">
      <formula1>Progress</formula1>
      <formula2>0</formula2>
    </dataValidation>
    <dataValidation type="list" allowBlank="1" sqref="E6" xr:uid="{00000000-0002-0000-0D00-000001000000}">
      <formula1>Status</formula1>
      <formula2>0</formula2>
    </dataValidation>
    <dataValidation type="list" allowBlank="1" sqref="F6" xr:uid="{00000000-0002-0000-0D00-000002000000}">
      <formula1>Plan_Type</formula1>
      <formula2>0</formula2>
    </dataValidation>
    <dataValidation type="list" allowBlank="1" sqref="I6" xr:uid="{00000000-0002-0000-0D00-000003000000}">
      <formula1>Tier</formula1>
      <formula2>0</formula2>
    </dataValidation>
    <dataValidation type="list" allowBlank="1" sqref="J6" xr:uid="{00000000-0002-0000-0D00-000004000000}">
      <formula1>Source</formula1>
      <formula2>0</formula2>
    </dataValidation>
    <dataValidation type="list" allowBlank="1" sqref="E40:E59" xr:uid="{00000000-0002-0000-0D00-000005000000}">
      <formula1>Task_Status</formula1>
      <formula2>0</formula2>
    </dataValidation>
    <dataValidation type="list" allowBlank="1" sqref="D40:D59" xr:uid="{00000000-0002-0000-0D00-000006000000}">
      <formula1>Priority</formula1>
      <formula2>0</formula2>
    </dataValidation>
  </dataValidations>
  <hyperlinks>
    <hyperlink ref="A2" r:id="rId1" location="'📋%20MASTER'!A1" xr:uid="{00000000-0004-0000-0D00-000000000000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9</vt:i4>
      </vt:variant>
    </vt:vector>
  </HeadingPairs>
  <TitlesOfParts>
    <vt:vector size="24" baseType="lpstr">
      <vt:lpstr>⚙️ SETTINGS</vt:lpstr>
      <vt:lpstr>📋 MASTER</vt:lpstr>
      <vt:lpstr>📊 ANALYTICS</vt:lpstr>
      <vt:lpstr>💼 BUSINESS</vt:lpstr>
      <vt:lpstr>FV-001</vt:lpstr>
      <vt:lpstr>FV-002</vt:lpstr>
      <vt:lpstr>FV-003</vt:lpstr>
      <vt:lpstr>FV-004</vt:lpstr>
      <vt:lpstr>FV-005</vt:lpstr>
      <vt:lpstr>FV-006</vt:lpstr>
      <vt:lpstr>FV-007</vt:lpstr>
      <vt:lpstr>FV-008</vt:lpstr>
      <vt:lpstr>FV-009</vt:lpstr>
      <vt:lpstr>FV-010</vt:lpstr>
      <vt:lpstr>📄 TEMPLATE</vt:lpstr>
      <vt:lpstr>Pay_Mode</vt:lpstr>
      <vt:lpstr>Plan_Duration_Lookup</vt:lpstr>
      <vt:lpstr>Plan_Type</vt:lpstr>
      <vt:lpstr>Priority</vt:lpstr>
      <vt:lpstr>Progress</vt:lpstr>
      <vt:lpstr>Source</vt:lpstr>
      <vt:lpstr>Status</vt:lpstr>
      <vt:lpstr>Task_Status</vt:lpstr>
      <vt:lpstr>Tier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ffllh</cp:lastModifiedBy>
  <cp:revision>0</cp:revision>
  <dcterms:created xsi:type="dcterms:W3CDTF">2026-04-19T11:26:01Z</dcterms:created>
  <dcterms:modified xsi:type="dcterms:W3CDTF">2026-05-07T14:12:45Z</dcterms:modified>
  <dc:language>en-US</dc:language>
</cp:coreProperties>
</file>